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er\Desktop\"/>
    </mc:Choice>
  </mc:AlternateContent>
  <xr:revisionPtr revIDLastSave="0" documentId="13_ncr:1_{96B9973D-D349-4F54-86F1-6F54C82B3323}" xr6:coauthVersionLast="47" xr6:coauthVersionMax="47" xr10:uidLastSave="{00000000-0000-0000-0000-000000000000}"/>
  <bookViews>
    <workbookView xWindow="-120" yWindow="-120" windowWidth="29040" windowHeight="15720" xr2:uid="{00000000-000D-0000-FFFF-FFFF00000000}"/>
  </bookViews>
  <sheets>
    <sheet name="CERT" sheetId="2" r:id="rId1"/>
    <sheet name="Letter" sheetId="3" r:id="rId2"/>
    <sheet name="Sheet1" sheetId="7" r:id="rId3"/>
    <sheet name="4th" sheetId="9" r:id="rId4"/>
    <sheet name="2ND 3RD" sheetId="8" r:id="rId5"/>
    <sheet name="20231ST" sheetId="10" r:id="rId6"/>
    <sheet name="20232ND3RD" sheetId="11" r:id="rId7"/>
    <sheet name="EXCEL" sheetId="5" r:id="rId8"/>
    <sheet name="POSITION" sheetId="6" r:id="rId9"/>
  </sheets>
  <functionGroups builtInGroupCount="19"/>
  <definedNames>
    <definedName name="a" localSheetId="5">#REF!</definedName>
    <definedName name="a" localSheetId="6">#REF!</definedName>
    <definedName name="a" localSheetId="4">#REF!</definedName>
    <definedName name="a" localSheetId="3">#REF!</definedName>
    <definedName name="a" localSheetId="0">#REF!</definedName>
    <definedName name="a" localSheetId="1">#REF!</definedName>
    <definedName name="a">#REF!</definedName>
    <definedName name="b.3" localSheetId="5">#REF!</definedName>
    <definedName name="b.3" localSheetId="6">#REF!</definedName>
    <definedName name="b.3" localSheetId="4">#REF!</definedName>
    <definedName name="b.3" localSheetId="3">#REF!</definedName>
    <definedName name="b.3" localSheetId="0">#REF!</definedName>
    <definedName name="b.3" localSheetId="1">#REF!</definedName>
    <definedName name="b.3">#REF!</definedName>
    <definedName name="b.54" localSheetId="5">#REF!</definedName>
    <definedName name="b.54" localSheetId="6">#REF!</definedName>
    <definedName name="b.54" localSheetId="4">#REF!</definedName>
    <definedName name="b.54" localSheetId="3">#REF!</definedName>
    <definedName name="b.54" localSheetId="0">#REF!</definedName>
    <definedName name="b.54" localSheetId="1">#REF!</definedName>
    <definedName name="b.54">#REF!</definedName>
    <definedName name="BILL" localSheetId="5">#REF!</definedName>
    <definedName name="BILL" localSheetId="6">#REF!</definedName>
    <definedName name="BILL" localSheetId="4">#REF!</definedName>
    <definedName name="BILL" localSheetId="3">#REF!</definedName>
    <definedName name="BILL" localSheetId="0">#REF!</definedName>
    <definedName name="BILL" localSheetId="1">#REF!</definedName>
    <definedName name="BILL">#REF!</definedName>
    <definedName name="cm" localSheetId="5">#REF!</definedName>
    <definedName name="cm" localSheetId="6">#REF!</definedName>
    <definedName name="cm" localSheetId="4">#REF!</definedName>
    <definedName name="cm" localSheetId="3">#REF!</definedName>
    <definedName name="cm" localSheetId="0">#REF!</definedName>
    <definedName name="cm" localSheetId="1">#REF!</definedName>
    <definedName name="cm">#REF!</definedName>
    <definedName name="dffs" localSheetId="5">#REF!</definedName>
    <definedName name="dffs" localSheetId="6">#REF!</definedName>
    <definedName name="dffs" localSheetId="4">#REF!</definedName>
    <definedName name="dffs" localSheetId="3">#REF!</definedName>
    <definedName name="dffs" localSheetId="0">#REF!</definedName>
    <definedName name="dffs" localSheetId="1">#REF!</definedName>
    <definedName name="dffs">#REF!</definedName>
    <definedName name="ed" localSheetId="5">#REF!</definedName>
    <definedName name="ed" localSheetId="6">#REF!</definedName>
    <definedName name="ed" localSheetId="4">#REF!</definedName>
    <definedName name="ed" localSheetId="3">#REF!</definedName>
    <definedName name="ed" localSheetId="0">#REF!</definedName>
    <definedName name="ed" localSheetId="1">#REF!</definedName>
    <definedName name="ed">#REF!</definedName>
    <definedName name="EDC" localSheetId="5">#REF!</definedName>
    <definedName name="EDC" localSheetId="6">#REF!</definedName>
    <definedName name="EDC" localSheetId="4">#REF!</definedName>
    <definedName name="EDC" localSheetId="3">#REF!</definedName>
    <definedName name="EDC" localSheetId="0">#REF!</definedName>
    <definedName name="EDC" localSheetId="1">#REF!</definedName>
    <definedName name="EDC">#REF!</definedName>
    <definedName name="erfeew" localSheetId="5">#REF!</definedName>
    <definedName name="erfeew" localSheetId="6">#REF!</definedName>
    <definedName name="erfeew" localSheetId="4">#REF!</definedName>
    <definedName name="erfeew" localSheetId="3">#REF!</definedName>
    <definedName name="erfeew" localSheetId="0">#REF!</definedName>
    <definedName name="erfeew" localSheetId="1">#REF!</definedName>
    <definedName name="erfeew">#REF!</definedName>
    <definedName name="ERWWER" localSheetId="5">#REF!</definedName>
    <definedName name="ERWWER" localSheetId="6">#REF!</definedName>
    <definedName name="ERWWER" localSheetId="4">#REF!</definedName>
    <definedName name="ERWWER" localSheetId="3">#REF!</definedName>
    <definedName name="ERWWER" localSheetId="0">#REF!</definedName>
    <definedName name="ERWWER" localSheetId="1">#REF!</definedName>
    <definedName name="ERWWER">#REF!</definedName>
    <definedName name="EW" localSheetId="5">#REF!</definedName>
    <definedName name="EW" localSheetId="6">#REF!</definedName>
    <definedName name="EW" localSheetId="4">#REF!</definedName>
    <definedName name="EW" localSheetId="3">#REF!</definedName>
    <definedName name="EW" localSheetId="0">#REF!</definedName>
    <definedName name="EW" localSheetId="1">#REF!</definedName>
    <definedName name="EW">#REF!</definedName>
    <definedName name="EWEWQ" localSheetId="5">#REF!</definedName>
    <definedName name="EWEWQ" localSheetId="6">#REF!</definedName>
    <definedName name="EWEWQ" localSheetId="4">#REF!</definedName>
    <definedName name="EWEWQ" localSheetId="3">#REF!</definedName>
    <definedName name="EWEWQ" localSheetId="0">#REF!</definedName>
    <definedName name="EWEWQ" localSheetId="1">#REF!</definedName>
    <definedName name="EWEWQ">#REF!</definedName>
    <definedName name="fm" localSheetId="5">#REF!</definedName>
    <definedName name="fm" localSheetId="6">#REF!</definedName>
    <definedName name="fm" localSheetId="4">#REF!</definedName>
    <definedName name="fm" localSheetId="3">#REF!</definedName>
    <definedName name="fm" localSheetId="0">#REF!</definedName>
    <definedName name="fm" localSheetId="1">#REF!</definedName>
    <definedName name="fm">#REF!</definedName>
    <definedName name="Foreman" localSheetId="5">#REF!</definedName>
    <definedName name="Foreman" localSheetId="6">#REF!</definedName>
    <definedName name="Foreman" localSheetId="4">#REF!</definedName>
    <definedName name="Foreman" localSheetId="3">#REF!</definedName>
    <definedName name="Foreman" localSheetId="0">#REF!</definedName>
    <definedName name="Foreman" localSheetId="1">#REF!</definedName>
    <definedName name="Foreman">#REF!</definedName>
    <definedName name="g" localSheetId="5">#REF!</definedName>
    <definedName name="g" localSheetId="6">#REF!</definedName>
    <definedName name="g" localSheetId="4">#REF!</definedName>
    <definedName name="g" localSheetId="3">#REF!</definedName>
    <definedName name="g" localSheetId="0">#REF!</definedName>
    <definedName name="g" localSheetId="1">#REF!</definedName>
    <definedName name="g">#REF!</definedName>
    <definedName name="GRETET" localSheetId="5">#REF!</definedName>
    <definedName name="GRETET" localSheetId="6">#REF!</definedName>
    <definedName name="GRETET" localSheetId="4">#REF!</definedName>
    <definedName name="GRETET" localSheetId="3">#REF!</definedName>
    <definedName name="GRETET" localSheetId="0">#REF!</definedName>
    <definedName name="GRETET" localSheetId="1">#REF!</definedName>
    <definedName name="GRETET">#REF!</definedName>
    <definedName name="h" localSheetId="5">#REF!</definedName>
    <definedName name="h" localSheetId="6">#REF!</definedName>
    <definedName name="h" localSheetId="4">#REF!</definedName>
    <definedName name="h" localSheetId="3">#REF!</definedName>
    <definedName name="h">#REF!</definedName>
    <definedName name="hA" localSheetId="5">#REF!</definedName>
    <definedName name="hA" localSheetId="6">#REF!</definedName>
    <definedName name="hA" localSheetId="4">#REF!</definedName>
    <definedName name="hA" localSheetId="3">#REF!</definedName>
    <definedName name="hA" localSheetId="0">#REF!</definedName>
    <definedName name="hA" localSheetId="1">#REF!</definedName>
    <definedName name="hA">#REF!</definedName>
    <definedName name="HGG" localSheetId="5">#REF!</definedName>
    <definedName name="HGG" localSheetId="6">#REF!</definedName>
    <definedName name="HGG" localSheetId="4">#REF!</definedName>
    <definedName name="HGG" localSheetId="3">#REF!</definedName>
    <definedName name="HGG" localSheetId="0">#REF!</definedName>
    <definedName name="HGG" localSheetId="1">#REF!</definedName>
    <definedName name="HGG">#REF!</definedName>
    <definedName name="j" localSheetId="5">#REF!</definedName>
    <definedName name="j" localSheetId="6">#REF!</definedName>
    <definedName name="j" localSheetId="4">#REF!</definedName>
    <definedName name="j" localSheetId="3">#REF!</definedName>
    <definedName name="j" localSheetId="0">#REF!</definedName>
    <definedName name="j" localSheetId="1">#REF!</definedName>
    <definedName name="j">#REF!</definedName>
    <definedName name="mn" localSheetId="5">#REF!</definedName>
    <definedName name="mn" localSheetId="6">#REF!</definedName>
    <definedName name="mn" localSheetId="4">#REF!</definedName>
    <definedName name="mn" localSheetId="3">#REF!</definedName>
    <definedName name="mn" localSheetId="0">#REF!</definedName>
    <definedName name="mn" localSheetId="1">#REF!</definedName>
    <definedName name="mn">#REF!</definedName>
    <definedName name="nm" localSheetId="5">#REF!</definedName>
    <definedName name="nm" localSheetId="6">#REF!</definedName>
    <definedName name="nm" localSheetId="4">#REF!</definedName>
    <definedName name="nm" localSheetId="3">#REF!</definedName>
    <definedName name="nm" localSheetId="0">#REF!</definedName>
    <definedName name="nm" localSheetId="1">#REF!</definedName>
    <definedName name="nm">#REF!</definedName>
    <definedName name="POW" localSheetId="5">#REF!</definedName>
    <definedName name="POW" localSheetId="6">#REF!</definedName>
    <definedName name="POW" localSheetId="4">#REF!</definedName>
    <definedName name="POW" localSheetId="3">#REF!</definedName>
    <definedName name="POW" localSheetId="0">#REF!</definedName>
    <definedName name="POW" localSheetId="1">#REF!</definedName>
    <definedName name="POW">#REF!</definedName>
    <definedName name="_xlnm.Print_Area" localSheetId="5">'20231ST'!$B$1:$M$223</definedName>
    <definedName name="_xlnm.Print_Area" localSheetId="6">'20232ND3RD'!$B$1:$M$284</definedName>
    <definedName name="_xlnm.Print_Area" localSheetId="4">'2ND 3RD'!$B$1:$M$218</definedName>
    <definedName name="_xlnm.Print_Area" localSheetId="3">'4th'!$B$1:$M$69</definedName>
    <definedName name="_xlnm.Print_Area" localSheetId="0">CERT!$A$1:$K$55</definedName>
    <definedName name="_xlnm.Print_Area" localSheetId="7">EXCEL!$B$1:$M$220</definedName>
    <definedName name="_xlnm.Print_Area" localSheetId="1">Letter!$A$1:$I$55</definedName>
    <definedName name="_xlnm.Print_Titles" localSheetId="5">'20231ST'!$13:$13</definedName>
    <definedName name="_xlnm.Print_Titles" localSheetId="6">'20232ND3RD'!$13:$13</definedName>
    <definedName name="_xlnm.Print_Titles" localSheetId="4">'2ND 3RD'!$13:$13</definedName>
    <definedName name="_xlnm.Print_Titles" localSheetId="3">'4th'!$13:$13</definedName>
    <definedName name="_xlnm.Print_Titles" localSheetId="0">CERT!$1:$9</definedName>
    <definedName name="_xlnm.Print_Titles" localSheetId="7">EXCEL!$13:$13</definedName>
    <definedName name="_xlnm.Print_Titles" localSheetId="1">Letter!$1:$8</definedName>
    <definedName name="Q" localSheetId="5">#REF!</definedName>
    <definedName name="Q" localSheetId="6">#REF!</definedName>
    <definedName name="Q" localSheetId="4">#REF!</definedName>
    <definedName name="Q" localSheetId="3">#REF!</definedName>
    <definedName name="Q" localSheetId="0">#REF!</definedName>
    <definedName name="Q" localSheetId="1">#REF!</definedName>
    <definedName name="Q">#REF!</definedName>
    <definedName name="ROUNDUP" localSheetId="5">#REF!</definedName>
    <definedName name="ROUNDUP" localSheetId="6">#REF!</definedName>
    <definedName name="ROUNDUP" localSheetId="4">#REF!</definedName>
    <definedName name="ROUNDUP" localSheetId="3">#REF!</definedName>
    <definedName name="ROUNDUP" localSheetId="0">#REF!</definedName>
    <definedName name="ROUNDUP" localSheetId="1">#REF!</definedName>
    <definedName name="ROUNDUP">#REF!</definedName>
    <definedName name="ryr" localSheetId="5">#REF!</definedName>
    <definedName name="ryr" localSheetId="6">#REF!</definedName>
    <definedName name="ryr" localSheetId="4">#REF!</definedName>
    <definedName name="ryr" localSheetId="3">#REF!</definedName>
    <definedName name="ryr" localSheetId="0">#REF!</definedName>
    <definedName name="ryr" localSheetId="1">#REF!</definedName>
    <definedName name="ryr">#REF!</definedName>
    <definedName name="s" localSheetId="5">#REF!</definedName>
    <definedName name="s" localSheetId="6">#REF!</definedName>
    <definedName name="s" localSheetId="4">#REF!</definedName>
    <definedName name="s" localSheetId="3">#REF!</definedName>
    <definedName name="s" localSheetId="0">#REF!</definedName>
    <definedName name="s" localSheetId="1">#REF!</definedName>
    <definedName name="s">#REF!</definedName>
    <definedName name="sfdsg" localSheetId="5">#REF!</definedName>
    <definedName name="sfdsg" localSheetId="6">#REF!</definedName>
    <definedName name="sfdsg" localSheetId="4">#REF!</definedName>
    <definedName name="sfdsg" localSheetId="3">#REF!</definedName>
    <definedName name="sfdsg" localSheetId="0">#REF!</definedName>
    <definedName name="sfdsg" localSheetId="1">#REF!</definedName>
    <definedName name="sfdsg">#REF!</definedName>
    <definedName name="UP" localSheetId="5">#REF!</definedName>
    <definedName name="UP" localSheetId="6">#REF!</definedName>
    <definedName name="UP" localSheetId="4">#REF!</definedName>
    <definedName name="UP" localSheetId="3">#REF!</definedName>
    <definedName name="UP" localSheetId="0">#REF!</definedName>
    <definedName name="UP" localSheetId="1">#REF!</definedName>
    <definedName name="UP">#REF!</definedName>
    <definedName name="w" localSheetId="5">#REF!</definedName>
    <definedName name="w" localSheetId="6">#REF!</definedName>
    <definedName name="w" localSheetId="4">#REF!</definedName>
    <definedName name="w" localSheetId="3">#REF!</definedName>
    <definedName name="w" localSheetId="0">#REF!</definedName>
    <definedName name="w" localSheetId="1">#REF!</definedName>
    <definedName name="w">#REF!</definedName>
    <definedName name="WOP" localSheetId="5">#REF!</definedName>
    <definedName name="WOP" localSheetId="6">#REF!</definedName>
    <definedName name="WOP" localSheetId="4">#REF!</definedName>
    <definedName name="WOP" localSheetId="3">#REF!</definedName>
    <definedName name="WOP" localSheetId="0">#REF!</definedName>
    <definedName name="WOP" localSheetId="1">#REF!</definedName>
    <definedName name="WO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2" i="5" l="1"/>
  <c r="A44" i="5" l="1"/>
  <c r="A42" i="5"/>
  <c r="A39" i="5" l="1"/>
  <c r="A34" i="5" l="1"/>
  <c r="A31" i="5" l="1"/>
  <c r="A280" i="11" l="1"/>
  <c r="A279" i="11"/>
  <c r="A278" i="11"/>
  <c r="A277" i="11"/>
  <c r="A276" i="11"/>
  <c r="A275" i="11"/>
  <c r="A274" i="11"/>
  <c r="A273" i="11"/>
  <c r="A272" i="11"/>
  <c r="A271" i="11"/>
  <c r="A270" i="11"/>
  <c r="A269" i="11"/>
  <c r="A268" i="11"/>
  <c r="A267" i="11"/>
  <c r="A266" i="11"/>
  <c r="A265" i="11"/>
  <c r="A264" i="11"/>
  <c r="A263" i="11"/>
  <c r="A262" i="11"/>
  <c r="A261" i="11"/>
  <c r="A260" i="11"/>
  <c r="A259" i="11"/>
  <c r="A258" i="11"/>
  <c r="A257" i="11"/>
  <c r="A256" i="11"/>
  <c r="A255" i="11"/>
  <c r="A254" i="11"/>
  <c r="A253" i="11"/>
  <c r="A252" i="11"/>
  <c r="A251" i="11"/>
  <c r="A250" i="11"/>
  <c r="A249" i="11"/>
  <c r="A248" i="11"/>
  <c r="A247" i="11"/>
  <c r="A246" i="11"/>
  <c r="A245" i="11"/>
  <c r="A244" i="11"/>
  <c r="A243" i="11"/>
  <c r="A242" i="11"/>
  <c r="A241" i="11"/>
  <c r="A240" i="11"/>
  <c r="A239" i="11"/>
  <c r="A238" i="11"/>
  <c r="A237" i="11"/>
  <c r="A236" i="11"/>
  <c r="A235" i="11"/>
  <c r="A234" i="11"/>
  <c r="A233" i="11"/>
  <c r="A232" i="11"/>
  <c r="A231" i="11"/>
  <c r="A230" i="11"/>
  <c r="A229" i="11"/>
  <c r="A228" i="11"/>
  <c r="A227" i="11"/>
  <c r="A226" i="11"/>
  <c r="A225" i="11"/>
  <c r="A224" i="11"/>
  <c r="A223" i="11"/>
  <c r="A222" i="11"/>
  <c r="A221" i="11"/>
  <c r="A220" i="11"/>
  <c r="A219" i="11"/>
  <c r="A218" i="11"/>
  <c r="A217" i="11"/>
  <c r="A152" i="11"/>
  <c r="A151" i="11"/>
  <c r="A150" i="11"/>
  <c r="A149" i="11"/>
  <c r="A148" i="11"/>
  <c r="A147" i="11"/>
  <c r="A146" i="11"/>
  <c r="A145" i="11"/>
  <c r="A144" i="11"/>
  <c r="A143" i="11"/>
  <c r="A142" i="11"/>
  <c r="A141" i="11"/>
  <c r="A140" i="11"/>
  <c r="A139" i="11"/>
  <c r="A138" i="11"/>
  <c r="A137" i="11"/>
  <c r="A136" i="11"/>
  <c r="A135" i="11"/>
  <c r="A134" i="11"/>
  <c r="A133" i="11"/>
  <c r="A132" i="11"/>
  <c r="A131" i="11"/>
  <c r="A130" i="11"/>
  <c r="A129" i="11"/>
  <c r="A128" i="11"/>
  <c r="A127" i="11"/>
  <c r="A126" i="11"/>
  <c r="A125" i="11"/>
  <c r="A124" i="11"/>
  <c r="A123" i="11"/>
  <c r="A122" i="11"/>
  <c r="A121" i="11"/>
  <c r="A120" i="11"/>
  <c r="A119" i="11"/>
  <c r="A118" i="11"/>
  <c r="A117" i="11"/>
  <c r="A116" i="11"/>
  <c r="A115" i="11"/>
  <c r="A114" i="11"/>
  <c r="A113" i="11"/>
  <c r="A112" i="11"/>
  <c r="A111" i="11"/>
  <c r="A110" i="11"/>
  <c r="A109" i="11"/>
  <c r="A108" i="11"/>
  <c r="A107" i="11"/>
  <c r="A106" i="11"/>
  <c r="A105" i="11"/>
  <c r="A104" i="11"/>
  <c r="A103" i="11"/>
  <c r="A102" i="11"/>
  <c r="A101" i="11"/>
  <c r="A100" i="11"/>
  <c r="A99" i="11"/>
  <c r="A98" i="11"/>
  <c r="A97" i="11"/>
  <c r="A96" i="11"/>
  <c r="A95" i="11"/>
  <c r="A94" i="11"/>
  <c r="A93" i="11"/>
  <c r="A92" i="11"/>
  <c r="A91" i="11"/>
  <c r="A90" i="11"/>
  <c r="A89" i="11"/>
  <c r="A88" i="11"/>
  <c r="A87" i="11"/>
  <c r="A86" i="11"/>
  <c r="A85" i="11"/>
  <c r="A84" i="11"/>
  <c r="A83" i="11"/>
  <c r="A82" i="11"/>
  <c r="A81" i="11"/>
  <c r="A80" i="11"/>
  <c r="A79" i="11"/>
  <c r="A78" i="11"/>
  <c r="A77" i="11"/>
  <c r="A76" i="11"/>
  <c r="A75" i="11"/>
  <c r="A74" i="11"/>
  <c r="A73" i="11"/>
  <c r="A72" i="11"/>
  <c r="A71" i="11"/>
  <c r="A70" i="11"/>
  <c r="A69" i="11"/>
  <c r="A68" i="11"/>
  <c r="A67" i="11"/>
  <c r="A66" i="11"/>
  <c r="A65" i="11"/>
  <c r="A64" i="11"/>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52" i="5" l="1"/>
  <c r="A146" i="5" l="1"/>
  <c r="A144" i="5"/>
  <c r="A139" i="5"/>
  <c r="A131" i="5" l="1"/>
  <c r="A127" i="5" l="1"/>
  <c r="A125" i="5"/>
  <c r="A124" i="5"/>
  <c r="A122" i="5"/>
  <c r="A121" i="5" l="1"/>
  <c r="A119" i="5" l="1"/>
  <c r="A117" i="5" l="1"/>
  <c r="A115" i="5"/>
  <c r="A114" i="5"/>
  <c r="A113" i="5"/>
  <c r="A109" i="5" l="1"/>
  <c r="A110" i="5"/>
  <c r="A108" i="5"/>
  <c r="A106" i="5" l="1"/>
  <c r="A105" i="5" l="1"/>
  <c r="A104" i="5"/>
  <c r="A101" i="5" l="1"/>
  <c r="A100" i="5"/>
  <c r="A99" i="5"/>
  <c r="A98" i="5"/>
  <c r="A97" i="5"/>
  <c r="A94" i="5" l="1"/>
  <c r="A93" i="5"/>
  <c r="A91" i="5" l="1"/>
  <c r="A89" i="5"/>
  <c r="A88" i="5"/>
  <c r="A86" i="5" l="1"/>
  <c r="A85" i="5" l="1"/>
  <c r="A84" i="5"/>
  <c r="A83" i="5"/>
  <c r="A82" i="5" l="1"/>
  <c r="A81" i="5"/>
  <c r="A80" i="5"/>
  <c r="A79" i="5"/>
  <c r="A78" i="5"/>
  <c r="A77" i="5" l="1"/>
  <c r="A76" i="5"/>
  <c r="A70" i="5" l="1"/>
  <c r="A69" i="5"/>
  <c r="A68" i="5"/>
  <c r="A65" i="5" l="1"/>
  <c r="A64" i="5"/>
  <c r="A63" i="5"/>
  <c r="A62" i="5"/>
  <c r="A61" i="5"/>
  <c r="A57" i="5" l="1"/>
  <c r="A55" i="5" l="1"/>
  <c r="A54" i="5"/>
  <c r="A53" i="5"/>
  <c r="A52" i="5"/>
  <c r="A51" i="5"/>
  <c r="A50" i="5"/>
  <c r="A49" i="5" l="1"/>
  <c r="A48" i="5"/>
  <c r="A47" i="5"/>
  <c r="A46" i="5"/>
  <c r="A45" i="5"/>
  <c r="A40" i="5" l="1"/>
  <c r="A38" i="5"/>
  <c r="A37" i="5"/>
  <c r="A36" i="5"/>
  <c r="A35" i="5"/>
  <c r="A33" i="5"/>
  <c r="A29" i="5"/>
  <c r="A28" i="5"/>
  <c r="A27" i="5"/>
  <c r="A25" i="5" l="1"/>
  <c r="A24" i="5" l="1"/>
  <c r="A23" i="5"/>
  <c r="A22" i="5"/>
  <c r="A21" i="5"/>
  <c r="A20" i="5"/>
  <c r="A19" i="5"/>
  <c r="A18" i="5"/>
  <c r="A17" i="5"/>
  <c r="A15" i="5"/>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207" i="6"/>
  <c r="A216" i="5"/>
  <c r="A206" i="6" s="1"/>
  <c r="A215" i="5"/>
  <c r="A205" i="6" s="1"/>
  <c r="A214" i="5"/>
  <c r="A204" i="6" s="1"/>
  <c r="A213" i="5"/>
  <c r="A203" i="6" s="1"/>
  <c r="A212" i="5"/>
  <c r="A202" i="6" s="1"/>
  <c r="A211" i="5"/>
  <c r="A201" i="6" s="1"/>
  <c r="A209" i="5"/>
  <c r="A207" i="5"/>
  <c r="A205" i="5"/>
  <c r="A203" i="5"/>
  <c r="A201" i="5"/>
  <c r="A199" i="5"/>
  <c r="A197" i="5" l="1"/>
  <c r="A194" i="5" l="1"/>
  <c r="A193" i="5"/>
  <c r="A192" i="5"/>
  <c r="A191" i="5"/>
  <c r="A190" i="5"/>
  <c r="A189" i="5"/>
  <c r="A188" i="5"/>
  <c r="A187" i="5"/>
  <c r="A186" i="5"/>
  <c r="A185" i="5"/>
  <c r="A184" i="5"/>
  <c r="A182" i="5" l="1"/>
  <c r="A179" i="5" l="1"/>
  <c r="A177" i="5"/>
  <c r="A176" i="5"/>
  <c r="A175" i="5"/>
  <c r="A173" i="5" l="1"/>
  <c r="A171" i="5" l="1"/>
  <c r="A170" i="5"/>
  <c r="A168" i="5" l="1"/>
  <c r="A167" i="5"/>
  <c r="A165" i="5" l="1"/>
  <c r="A164" i="5"/>
  <c r="A163" i="5"/>
  <c r="A162" i="5"/>
  <c r="A161" i="5" l="1"/>
  <c r="A160" i="5"/>
  <c r="A159" i="5"/>
  <c r="A158" i="5"/>
  <c r="A157" i="5"/>
  <c r="A156" i="5"/>
  <c r="A155" i="5"/>
  <c r="A154" i="5"/>
  <c r="A153" i="5"/>
  <c r="A151" i="5"/>
  <c r="A150" i="5"/>
  <c r="A149" i="5"/>
  <c r="A148" i="5"/>
  <c r="A147" i="5"/>
  <c r="A145" i="5"/>
  <c r="A140" i="5" l="1"/>
  <c r="A138" i="5"/>
  <c r="A137" i="5"/>
  <c r="A136" i="5"/>
  <c r="A134" i="5"/>
  <c r="A133" i="5"/>
  <c r="A130" i="5"/>
  <c r="A129" i="5"/>
  <c r="A126" i="5"/>
  <c r="A123" i="5" l="1"/>
  <c r="A120" i="5"/>
  <c r="A118" i="5"/>
  <c r="A116" i="5"/>
  <c r="A111" i="5"/>
  <c r="A103" i="5"/>
  <c r="A96" i="5" l="1"/>
  <c r="A95" i="5"/>
  <c r="A92" i="5"/>
  <c r="A75" i="5" l="1"/>
  <c r="A74" i="5"/>
  <c r="A73" i="5"/>
  <c r="A72" i="5"/>
  <c r="A71" i="5"/>
  <c r="A67" i="5"/>
  <c r="A58" i="5" l="1"/>
  <c r="A56" i="5" l="1"/>
  <c r="A43" i="5" l="1"/>
  <c r="A32" i="5" l="1"/>
  <c r="A3" i="6" l="1"/>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66" i="5" l="1"/>
  <c r="A30" i="5" l="1"/>
  <c r="A213" i="8" l="1"/>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208" i="5" l="1"/>
  <c r="A206" i="5"/>
  <c r="A200" i="5" l="1"/>
  <c r="A196" i="5" l="1"/>
  <c r="A172" i="5" l="1"/>
  <c r="A169" i="5"/>
  <c r="A142" i="5" l="1"/>
  <c r="A141" i="5"/>
  <c r="A135" i="5" l="1"/>
  <c r="A132" i="5" l="1"/>
  <c r="A128" i="5" l="1"/>
  <c r="A105" i="6" l="1"/>
  <c r="A107" i="6"/>
  <c r="A108" i="6"/>
  <c r="A110" i="6"/>
  <c r="A111" i="6"/>
  <c r="A113" i="6"/>
  <c r="A118" i="6"/>
  <c r="A119" i="6"/>
  <c r="A123" i="6"/>
  <c r="A124" i="6"/>
  <c r="A125" i="6"/>
  <c r="A126" i="6"/>
  <c r="A127" i="6"/>
  <c r="A128" i="6"/>
  <c r="A129" i="6"/>
  <c r="A130" i="6"/>
  <c r="A132" i="6"/>
  <c r="A133" i="6"/>
  <c r="A135" i="6"/>
  <c r="A138" i="6"/>
  <c r="A139" i="6"/>
  <c r="A141" i="6"/>
  <c r="A143" i="6"/>
  <c r="A144" i="6"/>
  <c r="A145" i="6"/>
  <c r="A147" i="6"/>
  <c r="A148" i="6"/>
  <c r="A151" i="6"/>
  <c r="A152" i="6"/>
  <c r="A153" i="6"/>
  <c r="A154" i="6"/>
  <c r="A155" i="6"/>
  <c r="A160" i="6"/>
  <c r="A161" i="6"/>
  <c r="A163" i="6"/>
  <c r="A164" i="6"/>
  <c r="A179" i="6"/>
  <c r="A180" i="6"/>
  <c r="A181" i="6"/>
  <c r="A183" i="6"/>
  <c r="A187" i="6"/>
  <c r="A190" i="6"/>
  <c r="A191" i="6"/>
  <c r="A197" i="6"/>
  <c r="A198" i="6"/>
  <c r="A199" i="6"/>
  <c r="A107" i="5" l="1"/>
  <c r="A90" i="5" l="1"/>
  <c r="A87" i="5" l="1"/>
  <c r="A60" i="5" l="1"/>
  <c r="A59" i="5"/>
  <c r="A32" i="6" l="1"/>
  <c r="A41" i="5" l="1"/>
  <c r="A26" i="5"/>
  <c r="A16" i="5"/>
  <c r="A14" i="5"/>
  <c r="A194" i="6" l="1"/>
  <c r="A202" i="5"/>
  <c r="A193" i="6" s="1"/>
  <c r="A192" i="6"/>
  <c r="A188" i="6" l="1"/>
  <c r="A185" i="6"/>
  <c r="A184" i="6"/>
  <c r="A182" i="6"/>
  <c r="A178" i="6"/>
  <c r="A176" i="6"/>
  <c r="A175" i="6"/>
  <c r="A183" i="5"/>
  <c r="A174" i="6" s="1"/>
  <c r="A173" i="6"/>
  <c r="A180" i="5"/>
  <c r="A171" i="6" s="1"/>
  <c r="A170" i="6"/>
  <c r="A178" i="5"/>
  <c r="A169" i="6" s="1"/>
  <c r="A174" i="5" l="1"/>
  <c r="A165" i="6" s="1"/>
  <c r="A159" i="6" l="1"/>
  <c r="A156" i="6" l="1"/>
  <c r="A150" i="6" l="1"/>
  <c r="A149" i="6"/>
  <c r="A146" i="6"/>
  <c r="A142" i="6"/>
  <c r="A140" i="6"/>
  <c r="A136" i="6" l="1"/>
  <c r="A143" i="5"/>
  <c r="A134" i="6" s="1"/>
  <c r="A121" i="6" l="1"/>
  <c r="A116" i="6" l="1"/>
  <c r="A115" i="6"/>
  <c r="A114" i="6"/>
  <c r="A112" i="6"/>
  <c r="A109" i="6"/>
  <c r="A112" i="5" l="1"/>
  <c r="A103" i="6" s="1"/>
  <c r="A102" i="6" l="1"/>
  <c r="A101" i="6"/>
  <c r="A23" i="6" l="1"/>
  <c r="R6" i="2" l="1"/>
  <c r="L4" i="3" l="1"/>
  <c r="A25" i="6"/>
  <c r="A27" i="6"/>
  <c r="A28" i="6"/>
  <c r="A74" i="6"/>
  <c r="A76" i="6"/>
  <c r="A77" i="6"/>
  <c r="A79" i="6"/>
  <c r="A80" i="6"/>
  <c r="A81" i="6"/>
  <c r="A82" i="6"/>
  <c r="A83" i="6"/>
  <c r="A84" i="6"/>
  <c r="A85" i="6"/>
  <c r="A86" i="6"/>
  <c r="A87" i="6"/>
  <c r="A88" i="6"/>
  <c r="A89" i="6"/>
  <c r="A90" i="6"/>
  <c r="A91" i="6"/>
  <c r="A92" i="6"/>
  <c r="A93" i="6"/>
  <c r="A94" i="6"/>
  <c r="A95" i="6"/>
  <c r="A96" i="6"/>
  <c r="A97" i="6"/>
  <c r="A98" i="6"/>
  <c r="A99" i="6"/>
  <c r="A100" i="6"/>
  <c r="A4" i="6"/>
  <c r="A5" i="6"/>
  <c r="A6" i="6"/>
  <c r="A7" i="6"/>
  <c r="A8" i="6"/>
  <c r="A9" i="6"/>
  <c r="A10" i="6"/>
  <c r="A11" i="6"/>
  <c r="A12" i="6"/>
  <c r="A13" i="6"/>
  <c r="A14" i="6"/>
  <c r="A15" i="6"/>
  <c r="A16" i="6"/>
  <c r="A17" i="6"/>
  <c r="A18" i="6"/>
  <c r="A19" i="6"/>
  <c r="A20" i="6"/>
  <c r="A21" i="6"/>
  <c r="A24" i="6"/>
  <c r="A26" i="6"/>
  <c r="A29" i="6"/>
  <c r="A30" i="6"/>
  <c r="A31"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5" i="6"/>
  <c r="A78" i="6"/>
  <c r="A104" i="6"/>
  <c r="A106" i="6"/>
  <c r="A117" i="6"/>
  <c r="A120" i="6"/>
  <c r="A122" i="6"/>
  <c r="A131" i="6"/>
  <c r="A137" i="6"/>
  <c r="A166" i="5"/>
  <c r="A157" i="6" s="1"/>
  <c r="A158" i="6"/>
  <c r="A162" i="6"/>
  <c r="A166" i="6"/>
  <c r="A167" i="6"/>
  <c r="A168" i="6"/>
  <c r="A181" i="5"/>
  <c r="A172" i="6" s="1"/>
  <c r="A177" i="6"/>
  <c r="A195" i="5"/>
  <c r="A186" i="6" s="1"/>
  <c r="A198" i="5"/>
  <c r="A189" i="6" s="1"/>
  <c r="A204" i="5"/>
  <c r="A195" i="6" s="1"/>
  <c r="A196" i="6"/>
  <c r="A210" i="5"/>
  <c r="A200" i="6" s="1"/>
  <c r="A2" i="6"/>
  <c r="M6" i="2" l="1"/>
  <c r="A22" i="3"/>
  <c r="A22" i="6"/>
  <c r="A12" i="3" s="1"/>
  <c r="B27" i="2"/>
  <c r="M9" i="2" l="1"/>
  <c r="A1" i="7" s="1"/>
  <c r="E1" i="7" s="1"/>
  <c r="S6" i="3"/>
  <c r="N26" i="3"/>
  <c r="L8" i="3"/>
  <c r="N17" i="3"/>
  <c r="F1" i="7" l="1"/>
  <c r="D1" i="7"/>
  <c r="C1" i="7"/>
  <c r="A14" i="2"/>
  <c r="C26" i="3"/>
</calcChain>
</file>

<file path=xl/sharedStrings.xml><?xml version="1.0" encoding="utf-8"?>
<sst xmlns="http://schemas.openxmlformats.org/spreadsheetml/2006/main" count="6653" uniqueCount="1637">
  <si>
    <t>Position</t>
  </si>
  <si>
    <t>Mamburao, Occidental Mindoro</t>
  </si>
  <si>
    <t>REGIONAL OFFICE IV-B</t>
  </si>
  <si>
    <t>DISTRICT ENGINEERING OFFICE</t>
  </si>
  <si>
    <t>MINDORO OCCIDENTAL</t>
  </si>
  <si>
    <t>DEPARTMENT OF PUBLIC WORKS AND HIGHWAYS</t>
  </si>
  <si>
    <t>Republic of the Philippines</t>
  </si>
  <si>
    <t>Department of Public Works and Highways</t>
  </si>
  <si>
    <t>C E R T I F I C A T I O N</t>
  </si>
  <si>
    <r>
      <t xml:space="preserve">CRISTINE JOY Y. BERNARDO             </t>
    </r>
    <r>
      <rPr>
        <sz val="12"/>
        <color theme="1"/>
        <rFont val="Tahoma"/>
        <family val="2"/>
      </rPr>
      <t>Admin. Asst. II                                      (Member)</t>
    </r>
  </si>
  <si>
    <r>
      <t>DARLENE KATE M. DE LEMOS</t>
    </r>
    <r>
      <rPr>
        <sz val="12"/>
        <rFont val="Tahoma"/>
        <family val="2"/>
      </rPr>
      <t xml:space="preserve">                            Bookbinder I                                                    (Member)</t>
    </r>
  </si>
  <si>
    <r>
      <t xml:space="preserve">CRISTINE JOY Y. BERNARDO                                                                   </t>
    </r>
    <r>
      <rPr>
        <sz val="12"/>
        <color theme="1"/>
        <rFont val="Tahoma"/>
        <family val="2"/>
      </rPr>
      <t>Admin. Asst. II                                                                                                         (Member)</t>
    </r>
  </si>
  <si>
    <r>
      <rPr>
        <b/>
        <sz val="12"/>
        <rFont val="Tahoma"/>
        <family val="2"/>
      </rPr>
      <t>ROQUE C. LADAGA, JR.</t>
    </r>
    <r>
      <rPr>
        <sz val="12"/>
        <rFont val="Tahoma"/>
        <family val="2"/>
      </rPr>
      <t xml:space="preserve">
Engineer III</t>
    </r>
  </si>
  <si>
    <t>VALIDATED BONDS BY SPECIAL ACTION COMMITTEE</t>
  </si>
  <si>
    <t>FOR THE THIRD QUARTER JULY-SEPTEMBER 2019</t>
  </si>
  <si>
    <t>NO.</t>
  </si>
  <si>
    <t>NAME OF CONTRACTOR</t>
  </si>
  <si>
    <t>PROJECT NO.</t>
  </si>
  <si>
    <t>PROJECT NAME</t>
  </si>
  <si>
    <t>AMOUNT</t>
  </si>
  <si>
    <t>DATE VALIDATED</t>
  </si>
  <si>
    <t>DATE OF EFFECTIVITY</t>
  </si>
  <si>
    <t>EXPIRATION</t>
  </si>
  <si>
    <t>VALIDITY PERIOD</t>
  </si>
  <si>
    <t>BOND NO.</t>
  </si>
  <si>
    <t>INSURANCE COMPANY</t>
  </si>
  <si>
    <t>KINDS OF BOND</t>
  </si>
  <si>
    <t>2 YEARS</t>
  </si>
  <si>
    <t>PACIFIC UNION INSURANCE COMPANY</t>
  </si>
  <si>
    <t xml:space="preserve">PERFORMANCE BOND </t>
  </si>
  <si>
    <t>1 YEAR</t>
  </si>
  <si>
    <t>CONTRACTOR'S ALL RISK POLICY</t>
  </si>
  <si>
    <t>COMMONWEALTH INSURANCE COMPANY</t>
  </si>
  <si>
    <t>RETENTION BOND</t>
  </si>
  <si>
    <t>ADVANCE PAYMENT BOND</t>
  </si>
  <si>
    <t>BETHEL GENERAL INSURANCE AND SURETY CORPORATION</t>
  </si>
  <si>
    <t>F.A. TORRES CONSTRUCTION</t>
  </si>
  <si>
    <t>WARRANTY BOND</t>
  </si>
  <si>
    <t>WTL CONSTRUCTION</t>
  </si>
  <si>
    <t>TRAVELLERS INSURANCE SURETY CORPORATION</t>
  </si>
  <si>
    <t>PERFORMANCE BOND</t>
  </si>
  <si>
    <t>M.A. GUINTO CONSTRUCTION</t>
  </si>
  <si>
    <t>NEW MINDOREÑOS LUMBER HARDWARE AND GENERAL MERCHANDISE</t>
  </si>
  <si>
    <t>JUAN ANTONIO CONSTRUCTION</t>
  </si>
  <si>
    <t>KEJAMARENIK CONSTRUCTION &amp; CONSTRUCTION SUPPLIES</t>
  </si>
  <si>
    <t>JOHNSEV ENTERPRISES</t>
  </si>
  <si>
    <t>Submitted By:</t>
  </si>
  <si>
    <t>ROQUE C. LADAGA, JR</t>
  </si>
  <si>
    <t>ENGINEER III</t>
  </si>
  <si>
    <t>The who?</t>
  </si>
  <si>
    <t>PROJECT ID</t>
  </si>
  <si>
    <t xml:space="preserve"> </t>
  </si>
  <si>
    <t>Procurement Unit :</t>
  </si>
  <si>
    <t>1.</t>
  </si>
  <si>
    <t>Thank you and more power.</t>
  </si>
  <si>
    <t xml:space="preserve">Very truly yours, </t>
  </si>
  <si>
    <t>Noted by:</t>
  </si>
  <si>
    <r>
      <rPr>
        <b/>
        <sz val="14"/>
        <rFont val="Tahoma"/>
        <family val="2"/>
      </rPr>
      <t>ROQUE C. LADAGA, JR.</t>
    </r>
    <r>
      <rPr>
        <sz val="12"/>
        <rFont val="Tahoma"/>
        <family val="2"/>
      </rPr>
      <t xml:space="preserve">
Engineer III</t>
    </r>
  </si>
  <si>
    <t>CITYSTAR CONSTRUCTION</t>
  </si>
  <si>
    <t>AVP Underwriting</t>
  </si>
  <si>
    <t>Attached is the  photocopy of the bond, for your reference. Favorable action is highly appreciated.</t>
  </si>
  <si>
    <t xml:space="preserve">Please attach in your confirmation a photocopy of the Certificate of Authority from the Insurance Commission, certified by your office.                                                                                                                                                     </t>
  </si>
  <si>
    <t>LEA C. DUENAS</t>
  </si>
  <si>
    <t>REGIONAL MANAGER</t>
  </si>
  <si>
    <t xml:space="preserve">COMMONWEALTH INSURANCE COMPANY                                          2ND FLOOR JUAN MADRIGAL, LIBORO ST.    PAGASA SANJOSE,OCC. MINDORO </t>
  </si>
  <si>
    <t>PACIFIC UNION INSURANCE COMPANY                        Unit 2401 Antel Corporate Center                            121 Valero St. Salcedo Village,Makati City</t>
  </si>
  <si>
    <t>BETHEL GENERAL INSURANCE AND SURETY CORPORATION                                                                              Unit 200 Valero Plaza 124 Valero Street                                         Salcedo Village, Makati City</t>
  </si>
  <si>
    <t>SIXTEEN ENTERPRISES</t>
  </si>
  <si>
    <t>AMM CONSTRUCTION &amp; CONSTRUCTION SUPPLIES</t>
  </si>
  <si>
    <t>LIBERTY INSURANCE CORPORATION</t>
  </si>
  <si>
    <t>LIBERTY INSURANCE COMPANY                                  JCS Building,119 Dela Rosa Cor. Palance St.                                              Legaspi Village,Makati City</t>
  </si>
  <si>
    <t>JUNRAMS CONSTRUCTION  &amp; CONSTRUCTION SUPPLIES</t>
  </si>
  <si>
    <t>1129 BUILDERS</t>
  </si>
  <si>
    <t>HI TONE CONSTRUCTION &amp; DVELOPMENT CORPORATION</t>
  </si>
  <si>
    <t>Sir:</t>
  </si>
  <si>
    <t>KGB ENGINEERING AND CONSTRUCTION</t>
  </si>
  <si>
    <t>ST.GERRARD CONSTRUCTION GEN. CONTRACTOR &amp; DEVELOPMENT CORPORATION</t>
  </si>
  <si>
    <t>LIBERTY INSURANCE COMPANY                                              JCS Building,119 Dela Rosa Cor. Palance St.                                              Legaspi Village,Makati City</t>
  </si>
  <si>
    <t>March 11,2022</t>
  </si>
  <si>
    <t>JOSELITO A. ANTONIO</t>
  </si>
  <si>
    <t>District Engineer</t>
  </si>
  <si>
    <t>BLACER CONSTRUCTION CORPORATION</t>
  </si>
  <si>
    <t>NEW SILANGAN HARDWARE &amp; FISHING SUPPLY</t>
  </si>
  <si>
    <t>21EB0123</t>
  </si>
  <si>
    <t>Concreting of Tuban Proper Road, Sto. Niño, Sablayan, Occidental Mindoro</t>
  </si>
  <si>
    <t>G (40) 16486</t>
  </si>
  <si>
    <t>Concreting of Agsuli Access Road, Sto. Niño, Sablayan, Occidental Mindoro</t>
  </si>
  <si>
    <t>21EB0121</t>
  </si>
  <si>
    <t>G (40) 16487</t>
  </si>
  <si>
    <t>G (13) 59899</t>
  </si>
  <si>
    <t>CAR ALB 2022 EN CARI 000324 00</t>
  </si>
  <si>
    <t>CAR ALB 2022 EN CARI 000325 00</t>
  </si>
  <si>
    <t>ORIENT STAR CONSTRUCTION, INC</t>
  </si>
  <si>
    <t>21EB0141</t>
  </si>
  <si>
    <t>Concreting of Road Brgy. Talabaan, Mamburao, Occidental Mindoro</t>
  </si>
  <si>
    <t>G (40) 009189</t>
  </si>
  <si>
    <t>21EB0144</t>
  </si>
  <si>
    <t>Construction of Water System Brgy. Talabaan, Mamburao, Occidental Mindoro</t>
  </si>
  <si>
    <t>G (40) 009188</t>
  </si>
  <si>
    <t>21EB0139</t>
  </si>
  <si>
    <t>Construction of Flood Control, Brgy. San Luis, Mamburao, Occidental Mindoro</t>
  </si>
  <si>
    <t>G (40) 009187</t>
  </si>
  <si>
    <t>21EB0146</t>
  </si>
  <si>
    <t>Construction of Water System including Pipes Installation, Brgy. Talabaan, Mamburao, Occidental Mindoro</t>
  </si>
  <si>
    <t>G (40) 009186</t>
  </si>
  <si>
    <t>21EB0157</t>
  </si>
  <si>
    <t>Construction (Completion) of 2STY 12CL Tilik Elementary School, Bgry. Tilik, Lubang, Occidental Mindoro.</t>
  </si>
  <si>
    <t>G (13) A  017603</t>
  </si>
  <si>
    <t>G (42) 015434</t>
  </si>
  <si>
    <t>CAR MNDR 0006225</t>
  </si>
  <si>
    <t>CAR MNDR 0006224</t>
  </si>
  <si>
    <t>CAR MNDR 0006226</t>
  </si>
  <si>
    <t>CAR MNDR 0006227</t>
  </si>
  <si>
    <t>G (13) A 017604</t>
  </si>
  <si>
    <t>G (13) A 017602</t>
  </si>
  <si>
    <t>G (13) A 017601</t>
  </si>
  <si>
    <t>G (13) A 59898</t>
  </si>
  <si>
    <t>22EB0091</t>
  </si>
  <si>
    <t xml:space="preserve">Preventive Maintenance of Road: along Mindoro West Coastal Rd - K0363 + 000 - K0363 + 425, Sta. Cruz, Occidental Mindoro </t>
  </si>
  <si>
    <t>CAR ALB 2022 EN CARI 000301  00</t>
  </si>
  <si>
    <t>G (13) 63071</t>
  </si>
  <si>
    <t>G (40) 31928</t>
  </si>
  <si>
    <t>22EB0032</t>
  </si>
  <si>
    <t>Construction of Flood Control Structure Pagbahan River, Sta. Cruz Section, Sta.0+000 - Sta.0+452, Sta. Cruz, Occidental Mindoro</t>
  </si>
  <si>
    <t>G (40) 24300</t>
  </si>
  <si>
    <t>22EB0009</t>
  </si>
  <si>
    <t>Road Widening along Mindoro West Coastal Rd - K0331+000 - K0332+500, Sablayan, Occidental Mindoro</t>
  </si>
  <si>
    <t>G (40) 47252</t>
  </si>
  <si>
    <t>CAR 1009490</t>
  </si>
  <si>
    <t>CAR 1009488</t>
  </si>
  <si>
    <t>G (13) A 57763</t>
  </si>
  <si>
    <t>G (13) A 57761</t>
  </si>
  <si>
    <t>Construction of Municipal Sports Complex (Grandstand), Sta. Cruz, Occidental Mindoro</t>
  </si>
  <si>
    <t>21EB0119</t>
  </si>
  <si>
    <t>G (13) A 57762</t>
  </si>
  <si>
    <t>CAR 1009489</t>
  </si>
  <si>
    <t>G (40) 42753</t>
  </si>
  <si>
    <t>21EB0138</t>
  </si>
  <si>
    <t>Construction of Multi-Purpose Building, Mindoro National High School, Mamburao, Occidental Mindoro</t>
  </si>
  <si>
    <t>G (40) 009955</t>
  </si>
  <si>
    <t>DUNGAN CONTRACTORS AND TRADING CORP.</t>
  </si>
  <si>
    <t>Off Carriageway Improvement-along Crossing MWCR (Pola)-Casague-Jct. Alacaak Rd.-K0378+(-521)-K0378+(-122), K0378+194-K0379+980,Sta. Cruz, Occidental Mindoro</t>
  </si>
  <si>
    <t>G (42) 015436</t>
  </si>
  <si>
    <t>21EB0143-R1</t>
  </si>
  <si>
    <t>Concreting of Road Brgy. Tangkalan, Mamburao, Occidental Mindoro</t>
  </si>
  <si>
    <t>G (13) 63076</t>
  </si>
  <si>
    <t>21EB0145</t>
  </si>
  <si>
    <t>Construction of Water System including Pipes Installation, Sitio Banakan, Brgy. Tangkalan, Mamburao, Occidental Mindoro</t>
  </si>
  <si>
    <t>22EB0085</t>
  </si>
  <si>
    <t>Construction of Evacuation Center, Bagong Sikat, Barangay Pinagturilan, Sta. Cruz, Occidental Mindoro</t>
  </si>
  <si>
    <t>G (13) 63074</t>
  </si>
  <si>
    <t>22EB0087</t>
  </si>
  <si>
    <t>Construction of Flood Control Structure Brgy. Cabacao, Abra De Ilog, Occidental Mindoro</t>
  </si>
  <si>
    <t>G (13) 63073</t>
  </si>
  <si>
    <t>22EB0088</t>
  </si>
  <si>
    <t>Construction of Access Road in Sitio Malabneg, Barangay Rumbang, Rizal, Occ. Mindoro</t>
  </si>
  <si>
    <t>G (13) 63078</t>
  </si>
  <si>
    <t>22EB0099</t>
  </si>
  <si>
    <t>Construction of Road, Sitio Tumibo, Barangay Tangal, Lubang, Occidental Mindoro</t>
  </si>
  <si>
    <t>G (13) 63082</t>
  </si>
  <si>
    <t>21EB0122</t>
  </si>
  <si>
    <t>Concreting of Road from Junction of National Highway, Brgy. Sto. Niño to Sitio Kalikasan, Sto. Niño, Rizal, Occidental Mindoro</t>
  </si>
  <si>
    <t>G (13) 63080</t>
  </si>
  <si>
    <t>22EB0084</t>
  </si>
  <si>
    <t>Construction of Evacuation Center in Mabini II Elementary School, Barangay Mabini, San Jose Occidental Mindoro</t>
  </si>
  <si>
    <t>G (13) 63081</t>
  </si>
  <si>
    <t>DAYBREAK ENTERRPISES ENGINEERING AND CONSTRUCTION</t>
  </si>
  <si>
    <t>22EB0086</t>
  </si>
  <si>
    <t>Construction of Flood Control Structure, Sitio Baclaran, Brgy. Pinagturilan, Sta. Cruz, Occidental Mindoro</t>
  </si>
  <si>
    <t>G (13) 63084</t>
  </si>
  <si>
    <t>R.B. ALIANZA BUILDERS AND TRADING</t>
  </si>
  <si>
    <t>22EB0101</t>
  </si>
  <si>
    <t>Construction of Multi-Purpose Building, Brgy. Maligaya, Lubang, Occidental Mindoro</t>
  </si>
  <si>
    <t>G (13) 63086</t>
  </si>
  <si>
    <t>21EB0136</t>
  </si>
  <si>
    <t>Construction of School Building, Brgy. Talabaan, Mamburao, Occidental Mindoro</t>
  </si>
  <si>
    <t>G (13) 63077</t>
  </si>
  <si>
    <t>ALB 2022 EN CARI 000334 00</t>
  </si>
  <si>
    <t>ALB 2022 EN CARI 000332 00</t>
  </si>
  <si>
    <t>ALB 2022 EN CARI 000333 00</t>
  </si>
  <si>
    <t>ALB 2022 EN CARI 000335 00</t>
  </si>
  <si>
    <t>ALB 2022 EN CARI 000336 00</t>
  </si>
  <si>
    <t>ALB 2022 EN CARI 000337 00</t>
  </si>
  <si>
    <t>ALB 2022 EN CARI 000340 00</t>
  </si>
  <si>
    <t>ALB 2022 EN CARI 000341 00</t>
  </si>
  <si>
    <t>ALB 2022 EN CARI 000344 00</t>
  </si>
  <si>
    <t>ALB 2022 EN CARI 000346 00</t>
  </si>
  <si>
    <t>G (13) A 015640</t>
  </si>
  <si>
    <t>CAR MNDR 0006228</t>
  </si>
  <si>
    <t>EXCELSIUS ENGINEERING SERVICES/WTL CONSTRUCTION (JV)</t>
  </si>
  <si>
    <t>20EB0017</t>
  </si>
  <si>
    <t>Road Widening along Mindoro West Coastal Rd - K0435 + 600 - K0437 + 113, Abra de Ilog, Occidental Mindoro</t>
  </si>
  <si>
    <t>G (40) 31555</t>
  </si>
  <si>
    <t>STERLING INSURANCE COMPANY, INC.</t>
  </si>
  <si>
    <t>22EB0012</t>
  </si>
  <si>
    <t>Construction of Concrete Road - Bulalacao-San Jose-Jct Mapaya Road, Occidental Mindoro</t>
  </si>
  <si>
    <t>ALB 2022 EN CARI 00343 00</t>
  </si>
  <si>
    <t>20EB0023-R1</t>
  </si>
  <si>
    <t>Paving of Unpaved Roads along Crossing MWCR (Pola)-Casague-Jct Alacaak Rd - Chainage 175 - Chainage 475, Sta. Cruz, Occidental Mindoro</t>
  </si>
  <si>
    <t>G (41) 14074</t>
  </si>
  <si>
    <t>22EB0008</t>
  </si>
  <si>
    <t>20EB0015</t>
  </si>
  <si>
    <t>Road Widening along Mindoro West Coastal Rd - K0353 + 000 - K0354 + 590, Sablayan, Occidental Mindoro</t>
  </si>
  <si>
    <t>G (41) 14075</t>
  </si>
  <si>
    <t>20EB0024</t>
  </si>
  <si>
    <t>Paving of Unpaved Roads along Crossing MWCR (Pola)-Casague-Jct Alacaak Rd - Chainage 1802 - Chainage 2652, Sta. Cruz, Occidental Mindoro</t>
  </si>
  <si>
    <t>G (41) 14076</t>
  </si>
  <si>
    <t>Road Widening along Mindoro West Coastal Rd - K0311+000 - K0312+486, Sablayan, Occidental Mindoro</t>
  </si>
  <si>
    <t>ALB 2022 EN CARI 00342 00</t>
  </si>
  <si>
    <t>G (13) 63085</t>
  </si>
  <si>
    <t>G (13) 63083</t>
  </si>
  <si>
    <t>G (40) 21309</t>
  </si>
  <si>
    <t>G (40) 21313</t>
  </si>
  <si>
    <t>G (40) 21307</t>
  </si>
  <si>
    <t>G (40) 21303</t>
  </si>
  <si>
    <t>G (40) 21304</t>
  </si>
  <si>
    <t>G (40) 21301</t>
  </si>
  <si>
    <t>G (40) 21308</t>
  </si>
  <si>
    <t>G (40) 21302</t>
  </si>
  <si>
    <t>G (40) 21306</t>
  </si>
  <si>
    <t>G (40) 21305</t>
  </si>
  <si>
    <t>G (40) 21311</t>
  </si>
  <si>
    <t>G (40) 21310</t>
  </si>
  <si>
    <t>22EB0098</t>
  </si>
  <si>
    <t>Construction of Lumangbayan-Kabayo-Katanlawan Road, Paluan, Occidental Mindoro</t>
  </si>
  <si>
    <t>ALB 2022 EN CARI 00307 00</t>
  </si>
  <si>
    <t>G (13) 59897</t>
  </si>
  <si>
    <t>HGG BUILDERS AND SUPPLY</t>
  </si>
  <si>
    <t>20EB0054</t>
  </si>
  <si>
    <t>Construction of Flood Control Structures Lumintao River Magsikap Section, Rizal, Occidental Mindoro</t>
  </si>
  <si>
    <t>G (13) 61242</t>
  </si>
  <si>
    <t>ALPHA &amp; OMEGA GENERAL CONTRACTOR AND DEV'T CORP.</t>
  </si>
  <si>
    <t>22EB0037</t>
  </si>
  <si>
    <t>Construction of Flood Control Structure, Labangan River, Sitio Yaw-Yawi 1, Brgy. Murtha, San Jose, Occidental Mindoro</t>
  </si>
  <si>
    <t xml:space="preserve"> 2 YEARS</t>
  </si>
  <si>
    <t>G (13) 63079</t>
  </si>
  <si>
    <t>ALB 2022 EN CARI 000338 00</t>
  </si>
  <si>
    <t>G (40) 21312</t>
  </si>
  <si>
    <t>G (40) 17244</t>
  </si>
  <si>
    <t>21EB0115</t>
  </si>
  <si>
    <t>Construction of Multi-Purpose Building (Extension of Covered Court) at Barangay Fatima, Mamburao, Occidental Mindoro</t>
  </si>
  <si>
    <t>G (42) 015445</t>
  </si>
  <si>
    <t>21EB0117</t>
  </si>
  <si>
    <t>Construction of Multi-Purpose Building (Barangay Hall) at Barangay Balansay, Mamburao, Occidental Mindoro</t>
  </si>
  <si>
    <t>G (42) 015444</t>
  </si>
  <si>
    <t>20EB0019</t>
  </si>
  <si>
    <t>Construction of Concrete Road along Junction MWCR (Labangan)-Murtha-Junction Iriron Road, Occidental Mindoro, Rizal, Occidental Mindoro</t>
  </si>
  <si>
    <t>G (41) 32683</t>
  </si>
  <si>
    <t>22EB0100</t>
  </si>
  <si>
    <t>Construction of Bank Slope Protection along Palicayan River, Paluan, Occidental Mindoro</t>
  </si>
  <si>
    <t>G (40) 001029244</t>
  </si>
  <si>
    <t>22EB0095</t>
  </si>
  <si>
    <t>Construction of Poblacion-Harrison Road (Bignay-Binaybayan Section), Paluan, Occidental Mindoro</t>
  </si>
  <si>
    <t>G (40) 001029245</t>
  </si>
  <si>
    <t>G (13) A 001063192</t>
  </si>
  <si>
    <t>CAR 0033788</t>
  </si>
  <si>
    <t>G (13) A 001063193</t>
  </si>
  <si>
    <t>R.S. TAGALA CONSTRUCTION</t>
  </si>
  <si>
    <t>22EB0089</t>
  </si>
  <si>
    <t>Construction of Road in Sitio Malabneg, Barangay Rumbang, Rizal, Occidental Mindoro</t>
  </si>
  <si>
    <t>G (40) 21314</t>
  </si>
  <si>
    <t>G (13) 61243</t>
  </si>
  <si>
    <t>ALB 2022 EN CARI 00360 00</t>
  </si>
  <si>
    <t>21EB0029</t>
  </si>
  <si>
    <t>ROAD WIDENING ALONG MINDORO WEST COASTAL RD-K0444+612-K0445+186-K0445+478, ABRA DE ILOG,OCCIDENTAL MINDORO</t>
  </si>
  <si>
    <t>G (42) 015450</t>
  </si>
  <si>
    <t>21EB0071</t>
  </si>
  <si>
    <t>Construction of DPWH Employees Quarters Building, Mamburao, Occidental Mindoro</t>
  </si>
  <si>
    <t>G (42) 33798</t>
  </si>
  <si>
    <t>ARIEL R. PATDU</t>
  </si>
  <si>
    <t>Assistant Vice President</t>
  </si>
  <si>
    <t>21EB0129</t>
  </si>
  <si>
    <t>Construction of Road at Brgy. Central, San Jose, Occidental Mindoro</t>
  </si>
  <si>
    <t>G (42) 38221</t>
  </si>
  <si>
    <t>21EB0053</t>
  </si>
  <si>
    <t>CONSTRUCTION OF NEW BRIDGE-BINGAG BR. ALONG MINDORO WEST COASTAL RD,CALINTAAN, OCCIDENTAL MINDORO</t>
  </si>
  <si>
    <t>G (42) 33805</t>
  </si>
  <si>
    <t>21EB0035</t>
  </si>
  <si>
    <t>OFF-CARRIAGEWAY IMPROVEMENT-ALONG MINDORO WEST COASTAL RD-K0322+500-K0323+466,SABLAYAN.OCCIDENTAL MINDORO</t>
  </si>
  <si>
    <t>G (42) 17642</t>
  </si>
  <si>
    <t>RMAJ CONSTRUCTION</t>
  </si>
  <si>
    <t>21EB0132</t>
  </si>
  <si>
    <t>Construction of Road at Brgy. New Dagupan, Calintaan, Occidental Mindoro</t>
  </si>
  <si>
    <t>G (42) 38226</t>
  </si>
  <si>
    <t>21EB0130</t>
  </si>
  <si>
    <t>Construction of Road at Brgy. Concepcion, Calintaan, Occidental Mindoro</t>
  </si>
  <si>
    <t>G (42) 38225</t>
  </si>
  <si>
    <t>22EB0002</t>
  </si>
  <si>
    <t>Rehabilitation/Reconstruction of Damaged Paved Roads-Secondary Roads along Jct. MWCR – San  Jose Airport-Jct Bubog Rd – K0238+(-226)-K0238+289, San Jose Occidental Mindoro</t>
  </si>
  <si>
    <t>G (13) 31930</t>
  </si>
  <si>
    <t>CAR ALB 2022 EN CARI 000365 00</t>
  </si>
  <si>
    <t>G (40) 21316</t>
  </si>
  <si>
    <t>22EB0028</t>
  </si>
  <si>
    <t>Construction of Flood Control Structure, Patrick River Lagnas Section, Sta. 0+000 - Sta. 0+390, Sablayan, Occidental Mindoro</t>
  </si>
  <si>
    <t>G (13) 31929</t>
  </si>
  <si>
    <t>CAR ALB 2022 EN CARI 000366 00</t>
  </si>
  <si>
    <t>21EB0033</t>
  </si>
  <si>
    <t>CONSTRUCTION OF CONCRETE ROAD-JUNCTION MWCR (LABANAGAN)-MURTHA-JCT IRIRON ROAD,RIZAL, OCCIDENTAL MINDORO</t>
  </si>
  <si>
    <t>G (42) 38224</t>
  </si>
  <si>
    <t>21EB0074</t>
  </si>
  <si>
    <t>UPGRADING/IMPROVEMENT OF IBUD-TAGUMPAY-VICTORIA ROAD IN SABLAYAN, OCCIDENTAL MINDORO</t>
  </si>
  <si>
    <t>G (42) 38223</t>
  </si>
  <si>
    <t>21EB0125</t>
  </si>
  <si>
    <t>Construction of Local Road at Brgy. Poblacion, Calintaan, Occidental Mindoro</t>
  </si>
  <si>
    <t>G (42) 38227</t>
  </si>
  <si>
    <t>21EB0162</t>
  </si>
  <si>
    <t>Concreting of Brgy. Sitio Tambunakan, Bgry. Balansay FMR, Brgy. Balansay, Mamburao Occidental Mindoro</t>
  </si>
  <si>
    <t>G (42) 016557</t>
  </si>
  <si>
    <t>22EB0016</t>
  </si>
  <si>
    <t>Off-Carriageway Improvement - along Tagbac-Lubang-Looc Rd - K0007 + 000 - K0007 + 151, Lubang, Occidental Mindoro</t>
  </si>
  <si>
    <t>G (42) 016556</t>
  </si>
  <si>
    <t>DOLLS CONSTRUCTION SERVICES</t>
  </si>
  <si>
    <t>22EB0104</t>
  </si>
  <si>
    <t>Concreting of Brgy. San Nicolas FMR, Sablayan, Occidental Mindoro</t>
  </si>
  <si>
    <t>G (13) 75305</t>
  </si>
  <si>
    <t>CAR ALB 2022 EN CARI 000379 00</t>
  </si>
  <si>
    <t>21EB0131</t>
  </si>
  <si>
    <t>Construction of Road at Brgy. Iriron, Calintaan, Occidental Mindoro</t>
  </si>
  <si>
    <t>G (42) 38228</t>
  </si>
  <si>
    <t>22EB0017</t>
  </si>
  <si>
    <t>Off-Carriageway Improvement - along Tagbac-Lubang-Looc Rd - K0008 + 000 - K0008 + 403, Lubang, Occidental Mindoro</t>
  </si>
  <si>
    <t>G (42) 016558</t>
  </si>
  <si>
    <t>22EB0096</t>
  </si>
  <si>
    <t>Construction of River Protection Structures along Calawagan River, Sta. 0+000 - Sta. 0+322, Sta. 0+492 - Sta. 772.00, Paluan, Occidental Mindoro, Paluan, Occidental Mindoro</t>
  </si>
  <si>
    <t>G (40) 21319</t>
  </si>
  <si>
    <t>CAR ALB 2022 EN CARI 000375 00</t>
  </si>
  <si>
    <t>22EB0018</t>
  </si>
  <si>
    <t>Off-Carriageway Improvement - along Tagbac-Lubang-Looc Rd - K0012 + 586 - K0012 + 900, Lubang, Occidental Mindoro</t>
  </si>
  <si>
    <t>G (42) 016559</t>
  </si>
  <si>
    <t>G (13) 75307</t>
  </si>
  <si>
    <t>22EB0094-R1</t>
  </si>
  <si>
    <t xml:space="preserve">Construction (Completion) of DPWH Motorpool Building, DPWH Mindoro Occidental DEO, Mamburao, Occidental 
Mindoro </t>
  </si>
  <si>
    <t>G (13) A 57772</t>
  </si>
  <si>
    <t>CAR 1009492</t>
  </si>
  <si>
    <t>22EB0103</t>
  </si>
  <si>
    <t>Repair/Installation of Road Safety Signages along National Roads (Intermittent Sections), Mainland, Abra de Ilog to Magsaysay, Occidental Mindoro</t>
  </si>
  <si>
    <t>G (13) A 57771</t>
  </si>
  <si>
    <t>CAR 1009493</t>
  </si>
  <si>
    <t>22EB0102</t>
  </si>
  <si>
    <t>Emergency Repair/Maintenance of Turawan Section (Slope Protection) K0338 + 600, Sablayan, Occidental Mindoro</t>
  </si>
  <si>
    <t>G (13) A 57769</t>
  </si>
  <si>
    <t>22EB0105</t>
  </si>
  <si>
    <t>Concreting of Brgy. Tuban FMR, Brgy. Tuban, Sablayan, Occidental Mindoro</t>
  </si>
  <si>
    <t>G (13) A 57773</t>
  </si>
  <si>
    <t>CAR 1009491</t>
  </si>
  <si>
    <t>G (40) 42755</t>
  </si>
  <si>
    <t>22EB0022</t>
  </si>
  <si>
    <t>Retrofitting/ Strengthening of Permanent Bridge - Banus Br. (B00088MR) along Mindoro West Coastal Rd, Calintaan, Occidental Mindoro</t>
  </si>
  <si>
    <t>G (42) 33806</t>
  </si>
  <si>
    <t>G (40) 42756</t>
  </si>
  <si>
    <t>N. SALES CONSTRUCTION/ KGB ENGINEERING &amp; CONSTRUCTION (JV)</t>
  </si>
  <si>
    <t>22EB0030</t>
  </si>
  <si>
    <t>Construction of Flood Control Structure along Anahawin River, Sta. 0+000 - Sta. 0+315, Brgy. Poblacion, Calintaan, Occidental Mindoro</t>
  </si>
  <si>
    <t>G (13) 75303</t>
  </si>
  <si>
    <t>ST. TIMOTHY CONSTRUCTION CORP.</t>
  </si>
  <si>
    <t>22EB0031</t>
  </si>
  <si>
    <t>Construction of Flood Control Structure Mompong River, Malisbong Section, Sta. 0+000 - Sta. 0+377, Sablayan, Occidental Mindoro</t>
  </si>
  <si>
    <t>G (13) 75302</t>
  </si>
  <si>
    <t>ASIANSTAR CONSTRUCTION &amp; SUPPLY CORP.</t>
  </si>
  <si>
    <t>22EB0019-R1</t>
  </si>
  <si>
    <t>Replacement of Permanent Weak Bridge - Orilan Br. 1 (B00137MR) along Mindoro West Coastal Rd, Abra de Ilog, Occidental Mindoro</t>
  </si>
  <si>
    <t>CAR ALB 2022 EN CARI 000377 00</t>
  </si>
  <si>
    <t>CAR ALB 2022 EN CARI 000374 00</t>
  </si>
  <si>
    <t>CAR ALB 2022 EN CARI 000376 00</t>
  </si>
  <si>
    <t>21EB0142</t>
  </si>
  <si>
    <t>CAR MNDR 0006229</t>
  </si>
  <si>
    <t>G (13) A 017362</t>
  </si>
  <si>
    <t>21EB0137</t>
  </si>
  <si>
    <t>Concreting of Multi-Purpose, Balansay Elementary School, Brgy. Balansay, Mamburao</t>
  </si>
  <si>
    <t>G (13) A 017605</t>
  </si>
  <si>
    <t>CAR MNDR 0006231</t>
  </si>
  <si>
    <t>CAVACON CORPORATION</t>
  </si>
  <si>
    <t>20EB0108</t>
  </si>
  <si>
    <t>Rehabilitation/Reconstruction of Mindoro West Coastal Rd, K0352+342, K0354+030, Brgy. Pag-asa, Sablayan, Occidental Mindoro</t>
  </si>
  <si>
    <t>G (42) 001044506</t>
  </si>
  <si>
    <t>G (13) 75304</t>
  </si>
  <si>
    <t>G (40) 21317</t>
  </si>
  <si>
    <t>SYNDTITE CONSTRUCTION CORPORATION</t>
  </si>
  <si>
    <t>18EB0079</t>
  </si>
  <si>
    <t>Network Development - Road Widening of Secondary Roads, Mindoro West Coastal Rd - K0255 + 393 - K0259 + 128 (S00095MR), Rizal, Occidental Mindoro</t>
  </si>
  <si>
    <t>G (41) 034570</t>
  </si>
  <si>
    <t>DELPAR CONSTRUCTION &amp; SUPPLIES</t>
  </si>
  <si>
    <t>21EB0058</t>
  </si>
  <si>
    <t>Construction of Flood Control Structures, Busuanga River, Central Section, San Jose, Occidental Mindoro</t>
  </si>
  <si>
    <t>G (42) 016565</t>
  </si>
  <si>
    <t>21EB0059</t>
  </si>
  <si>
    <t>Construction of Flood Control Structures, Busuanga River, San Agustin Section, Sitio Lamis, San Jose, Occidental Mindoro</t>
  </si>
  <si>
    <t>G (42) 016563</t>
  </si>
  <si>
    <t>21EB0055</t>
  </si>
  <si>
    <t>Construction of Flood Control Structures, Busuanga River, San Pedro Section, Rizal, Occidental Mindoro</t>
  </si>
  <si>
    <t>G (42) 016564</t>
  </si>
  <si>
    <t>21EB0041</t>
  </si>
  <si>
    <t>REHABILITATION/MAJOR REPAIR OF BRIDGE-ARMADO BR.1 (B00121MR) ALONG MINDORO WEAT COASTAL RD.,ABRA DE ILOG, OCCIDENTAL MINDORO</t>
  </si>
  <si>
    <t>G (42) 016568</t>
  </si>
  <si>
    <t>21EB0036 PULL OUT</t>
  </si>
  <si>
    <t>ROAD WIDENING OF PALUAN-MAMBURAO ROAD (MASLUD-MARIKIT SECTION) PALUAN, OCCIDENTAL MINDORO</t>
  </si>
  <si>
    <t>21EB0135</t>
  </si>
  <si>
    <t>G (42) 46074</t>
  </si>
  <si>
    <t>PLERM CONSTRUCTION &amp; DEVELOPMENT CORPORATION</t>
  </si>
  <si>
    <t>21EB0054</t>
  </si>
  <si>
    <t>CONSTRUCTION OF NEW BRIDGE-NEW PAGBAHAN BRIDGE ALONG MINDORO WEST COASTAL RD,STA CRUZ, OCCIDENTAL MINDORO</t>
  </si>
  <si>
    <t>G (42) 38230</t>
  </si>
  <si>
    <t xml:space="preserve"> CONSTRUCTION OF CONCRETE ROAD-ACCESS ROAD LEADING TO STA. TERESA PORT, MAGSAYSAY OCCIDENTAL MINDORO</t>
  </si>
  <si>
    <t>21EB0067</t>
  </si>
  <si>
    <t>G (42) 38231</t>
  </si>
  <si>
    <t>Concreting of Road Brgy. Tangkalan, Mamburao Occidental Mindoro</t>
  </si>
  <si>
    <t>G (42) 38232</t>
  </si>
  <si>
    <t>GARCIANO CONSTRUCTION &amp; BUILDERS SUPPLY</t>
  </si>
  <si>
    <t>22EB0107</t>
  </si>
  <si>
    <t>CAR 1009494</t>
  </si>
  <si>
    <t>G (13) A 57777</t>
  </si>
  <si>
    <t>G  (40) 42757</t>
  </si>
  <si>
    <t>22EB0097-R1</t>
  </si>
  <si>
    <t>Construction of River Protection Structures along Katanlawan River, Sta. 0+000-Sta. 0+840 (L/S), Sta. 0+200 – Sta. 0+360 (R/S), Paluan, Occidental Mindoro</t>
  </si>
  <si>
    <t>CAR ALB 2022 EN CARI 000399 00</t>
  </si>
  <si>
    <t>G (13) 75306</t>
  </si>
  <si>
    <t>Construction  of Two (2) Storey Hostel Building, DPWH Mindoro Occidental District Engineering Office, Mamburao, Occidental Mindoro</t>
  </si>
  <si>
    <t>20EB0112</t>
  </si>
  <si>
    <t>Construction/Rehabilitation of Multi-Purpose Building Brgy. Sto. Niño, Sablayan, Occidental Mindoro</t>
  </si>
  <si>
    <t>G (41) 14078</t>
  </si>
  <si>
    <t>19EB0133</t>
  </si>
  <si>
    <t>Construction of Evacuation Center in Brgy. Poblacion,Magsaysay,Occidental Mindoro</t>
  </si>
  <si>
    <t>G (41) 14079</t>
  </si>
  <si>
    <t>17EB0136</t>
  </si>
  <si>
    <t>Network Development-Construction of By Passes/Diversion Rds. Including Row,Abra de Ilog By-Pass Road, Occidental Mindoro</t>
  </si>
  <si>
    <t>G (41) 14080</t>
  </si>
  <si>
    <t>JEENE SON CONSTRUCTION</t>
  </si>
  <si>
    <t>20EB0039</t>
  </si>
  <si>
    <t>Rehabilitation / Major Repair of Bridge - Tepassy Br. (B00139MR) along Bulalacao-Sn Jose-Jct Mapaya Rd, San Jose, Occidental Mindoro</t>
  </si>
  <si>
    <t>G (41) 140741</t>
  </si>
  <si>
    <t>20EB0142</t>
  </si>
  <si>
    <t>Concreting of Zone III to Zone V, Brgy. Sta. Lucia FMR, Brgy. Sta. Lucia, Sablayan, Occidental Mindoro</t>
  </si>
  <si>
    <t>G (41) 14070</t>
  </si>
  <si>
    <t>EC STRUCTURAL COMPOSITES</t>
  </si>
  <si>
    <t>21EB0040</t>
  </si>
  <si>
    <t>RETROFITTING/STRENGTHENING OF BRIDGE-MONTECLARO BR. (B00143MR) ALONG JCT. MWCR LABANGAN-MURTHA-JCT IRIRON RD,SAN JOSE, OCCIDENTAL MINDORO</t>
  </si>
  <si>
    <t>G (41) 140751</t>
  </si>
  <si>
    <t>18EB0014</t>
  </si>
  <si>
    <t>Network Development - Construction of By-Pass and Diversion Roads, Abra De Ilog Bypass Road, incl. ROW, Occidental Mindoro, Sta. 0 + 732 - Sta.2 + 232, Abra de Ilog, Occidental Mindoro.</t>
  </si>
  <si>
    <t>G (42) 34631</t>
  </si>
  <si>
    <t>RNV CONSTRUCTION</t>
  </si>
  <si>
    <t>21EB0076</t>
  </si>
  <si>
    <t>Upgrading/Improvement of MWCR to San Agustin Road San Jose, Occidental Mindoro</t>
  </si>
  <si>
    <t>G (42) 34630</t>
  </si>
  <si>
    <t>Rehabilitation/Reconstruction of Damaged Paved Roads-Secondary Roads along Jct. MWCR – San  Jose Airport-Jct Bubog Rd – K0238+(-226)-K0238+289, San Jose Occidental Mindoro.</t>
  </si>
  <si>
    <t>G (42) 34632</t>
  </si>
  <si>
    <t>22EB0015</t>
  </si>
  <si>
    <t>Off-Carriageway Improvement - along Tagbac-Lubang-Looc Rd - K0003 + 300 - K0004 + 000, Lubang, Occidental Mindoro.</t>
  </si>
  <si>
    <t>G (42) 34635</t>
  </si>
  <si>
    <t>G (42) 33808</t>
  </si>
  <si>
    <t>22EB0065</t>
  </si>
  <si>
    <t>Construction of Evacuation Center, Barangay Ansiray, San Jose, Occidental Mindoro</t>
  </si>
  <si>
    <t>G (42) 34634</t>
  </si>
  <si>
    <t>JHR ENTERPRISES</t>
  </si>
  <si>
    <t>20EB0045</t>
  </si>
  <si>
    <t>Widening of Bridge - Magnot Br. 2 (B00198MR) along Mindoro West Coastal Rd, Abra de Ilog, Occidental Mindoro</t>
  </si>
  <si>
    <t>G (41) 324450</t>
  </si>
  <si>
    <t>22EB0106</t>
  </si>
  <si>
    <t>Emergency Repair/Maintenance of Mompong-Yapang Bridge Approach "B" (Slope Protection) , Sablayan, Occidental Mindoro</t>
  </si>
  <si>
    <t>G (13) A 57780</t>
  </si>
  <si>
    <t>CAR 1009496</t>
  </si>
  <si>
    <t>22EB0109</t>
  </si>
  <si>
    <t xml:space="preserve"> Repair/Maintenance of various DPWH Publing Buildings: A) Property Office Building, Airport Rd. Brgy. 9, Mamburao Occidental Mindoro, B) AES- Guardhouse, Gate &amp; Perimeter Fence, Mamburao, Occidental Mindoro, C) AES- Guardhouse, Gate &amp; Perimeter Fence, San Jose, Occidental Mindoro</t>
  </si>
  <si>
    <t>G (13) A 57782</t>
  </si>
  <si>
    <t>22EB0108</t>
  </si>
  <si>
    <t>Emergency Repair/Maintenance ofKambingan Section (Slope Protection) K0345+350 , Sablayan, Occidental Mindoro</t>
  </si>
  <si>
    <t>G (13) A 57781</t>
  </si>
  <si>
    <t>N. SALES CONSTRUCTION</t>
  </si>
  <si>
    <t>22EB0068</t>
  </si>
  <si>
    <t>Construction of Evacuation Center, Calintaan National High School, Red Hill, Barangay New Dagupan, Calintaan, Occidental Mindoro</t>
  </si>
  <si>
    <t>G (41) 001033707</t>
  </si>
  <si>
    <t>MR PALABAO CONSTRUCTION &amp; SUPPLIES</t>
  </si>
  <si>
    <t>19EB0033</t>
  </si>
  <si>
    <t>Construction of Bridge-Waliswis Bridge Along Jct. TLLR Tumibo Lubang Binacas Rd. Lubang, Occidental Mindoro</t>
  </si>
  <si>
    <t>G (41) 013209</t>
  </si>
  <si>
    <t>G (42) 016586</t>
  </si>
  <si>
    <t>22EB0021</t>
  </si>
  <si>
    <t>Retrofitting/ Strengthening of Permanent Bridge - Amnay Br. (B00102MR) along Mindoro West Coastal Rd (Phase II), Sablayan, Occidental Mindoro</t>
  </si>
  <si>
    <t>G (42) 46078</t>
  </si>
  <si>
    <t>19EB0062</t>
  </si>
  <si>
    <t>Cluster 2019VIIP-05: Construction of Various Concrete Roads: A) Concreting of Road From Purok 6 &amp; 7 Brgy. Mabini, San Jose, Occidental Mindoro</t>
  </si>
  <si>
    <t>G (41) 013215</t>
  </si>
  <si>
    <t>Cluster 2019VIIP-05: Construction of Various Concrete Roads: B) Concreting of Road from Sitio Narra-Brgy. Camburay San Jose, Occidental Mindoro</t>
  </si>
  <si>
    <t>G (41) 013214</t>
  </si>
  <si>
    <t xml:space="preserve">19EB0062 </t>
  </si>
  <si>
    <t>Construction of Agsuli Access Road Sto. Niño, Sablyan, Occidental Mindoro</t>
  </si>
  <si>
    <t>G (42) 46082</t>
  </si>
  <si>
    <t>22EB0114</t>
  </si>
  <si>
    <t>Construction of Evacuation Center (Phase I). Sitio Agsuli, Sto Niño, Sablayan, Occidental Mindoro</t>
  </si>
  <si>
    <t>G (13) A 57793</t>
  </si>
  <si>
    <t>CAR  1009498</t>
  </si>
  <si>
    <t>G (40) 42761</t>
  </si>
  <si>
    <t xml:space="preserve">ARKY CONSTRUCTION AND SUPPLY </t>
  </si>
  <si>
    <t>17EB0060</t>
  </si>
  <si>
    <t>Network Development-Off Carriageway Improvement including Drainage Crossing (MWCR)-Casague Jct. Alakaak Rd. K0379+996-K0381+308,S00163MR</t>
  </si>
  <si>
    <t>G (41) 019926</t>
  </si>
  <si>
    <t>ALPHA INSURANCE &amp; SURETY COMPANY, INC.</t>
  </si>
  <si>
    <t>G (42) 016594</t>
  </si>
  <si>
    <t>Construction of Multi-Purpose Building, Brgy. Balansay, Mamburao, Occidental Mindoro</t>
  </si>
  <si>
    <t>G (42) 016590</t>
  </si>
  <si>
    <t>Concreting of Road, Barangay Tangkalan, Mamburao, Occidental Mindoro</t>
  </si>
  <si>
    <t>G (42) 016591</t>
  </si>
  <si>
    <t>22EB0069-R1</t>
  </si>
  <si>
    <t>Construction of Evacuation Center, Sitio Nalwak, Brgy. Purnaga, Magsaysay, Occidental Mindoro</t>
  </si>
  <si>
    <t>G (42) 33811</t>
  </si>
  <si>
    <t>Construction of Tuban Proper Road Sto. Niño, Sablayan, Occidental Mindoro</t>
  </si>
  <si>
    <t>G (42) 46083</t>
  </si>
  <si>
    <t>F.A. TORRES CONSTRUCTION/ORIENT STAR CONSTRUCTION,INC. JV</t>
  </si>
  <si>
    <t>17EB0083</t>
  </si>
  <si>
    <t>Network Development Off-Carriageway Improvement Including Drainage, Sablayan Penal Colony Rd. K0331+736-K033+512 S00101MR Sablayan, Occidental Mindoro</t>
  </si>
  <si>
    <t>G (41) 25239</t>
  </si>
  <si>
    <t>17EB0059-R1</t>
  </si>
  <si>
    <t>Asset Preservation of National Roads – Construction/Upgrading of Drainage
		along National Roads, Sablayan Penal Colony Road – K0324+(-)041 – K0325
		+880, K0326+706 – K0326+959, S00101MR, Sablayan, Occidental Mindoro</t>
  </si>
  <si>
    <t>G (41) 25238</t>
  </si>
  <si>
    <t>22EB0058</t>
  </si>
  <si>
    <t>Construction of Multi-Purpose Building, Barangay Bangkal, San Jose, Occidental Mindoro</t>
  </si>
  <si>
    <t>G ( 42) 33813</t>
  </si>
  <si>
    <t>Construction of Flood Control Structure Pagbahan River, Sta. Cruz Section, Sta. 0-000-Sta. 0+452, Sta. Cruz, Occidental Mindoro</t>
  </si>
  <si>
    <t>G ( 42) 33812</t>
  </si>
  <si>
    <t>G (42) 46670</t>
  </si>
  <si>
    <t>21EB0048</t>
  </si>
  <si>
    <t>Widening of Bridge - Alipid Bridge  (B00021MR) along Mindoro West Coastal Rd,Sablayan, Occidental Mindoro</t>
  </si>
  <si>
    <t>G (42) 46674</t>
  </si>
  <si>
    <t>22EB0023</t>
  </si>
  <si>
    <t>Retrofitting/ Strengthening of Permanent Bridge - Ramayan Br. 2 (B00165MR) along Crossing MWCR (Pola)-Casague-Jct Alacaak Rd, Sta. Cruz, Occidental Mindoro</t>
  </si>
  <si>
    <t>G (42) 46673</t>
  </si>
  <si>
    <t>22EB0071</t>
  </si>
  <si>
    <t>Construction (Completion) of Multi-Purpose Building (Evacuation Center) DPWH Compound, Brgy. Payompon, Mamburao, Occidental Mindor</t>
  </si>
  <si>
    <t>G (42) 46672</t>
  </si>
  <si>
    <t>G (42) 46671</t>
  </si>
  <si>
    <t>G (42) 46675</t>
  </si>
  <si>
    <t>G (42) 34638</t>
  </si>
  <si>
    <t>21EB0140</t>
  </si>
  <si>
    <t>Concreting of National Road Junction to Brgy. Batong Buhay, Sablayan, Occidental Mindoro</t>
  </si>
  <si>
    <t>G (42) 46669</t>
  </si>
  <si>
    <t xml:space="preserve">Repair/Maintenance of various DPWH Publing Buildings: A) Property Office Building, Airport Rd. Brgy. 9, Mamburao Occidental Mindoro, B) AES- Guardhouse, Gate &amp; Perimeter Fence, Mamburao, Occidental Mindoro, C) AES- Guardhouse, Gate &amp; Perimeter Fence, San Jose, Occidental Mindoro </t>
  </si>
  <si>
    <t>G (42) 33815</t>
  </si>
  <si>
    <t>22EB0113</t>
  </si>
  <si>
    <t>Construction of Rainwater Collection System (RWCS), Occidental Mindoro: a) Mamburao Central School, Mamburao, b) Payompon Elementary School, Mamburao, c) Balansay Elementary School, Mamburao, d) Tambunakan Elementary School, Mamburao, e) Tug-ilan Elementary School, Mamburao, f) Tayamaan Elementary School, Mamburao, g) Dapi Elementary School, Mamburao, h) Payompon Barangay Hall, Mamburao, i) Brgy. Payompon Health Center, Mamburao,  Occidental Mindoro</t>
  </si>
  <si>
    <t>CAR 1009499</t>
  </si>
  <si>
    <t>G (13) A 57794</t>
  </si>
  <si>
    <t>G (40) 42762</t>
  </si>
  <si>
    <t>22EB0072</t>
  </si>
  <si>
    <t>Construction of Hospital Building for COVID-19 Patient, Lubang, Occidental Mindoro</t>
  </si>
  <si>
    <t>G (42) 46679</t>
  </si>
  <si>
    <t>22EB0066</t>
  </si>
  <si>
    <t>Construction of Evacuation Center, Barangay Bayotbot, San Jose, Occidental Mindoro</t>
  </si>
  <si>
    <t>G (42) 46678</t>
  </si>
  <si>
    <t>22EB0060</t>
  </si>
  <si>
    <t>Construction of Multi-Purpose Building, Barangay New Dagupan, Calintaan, Occidental Mindoro</t>
  </si>
  <si>
    <t>G (42) 46677</t>
  </si>
  <si>
    <t>Preventive Maintenance (Asphalt Overlay) along Mindoro West Coastal Rd – K0363 + 000 – K0363 +425 ,Sta. Cruz, Occidental Mindoro</t>
  </si>
  <si>
    <t>G (42) 016597</t>
  </si>
  <si>
    <t>22EB0024</t>
  </si>
  <si>
    <t>Retrofitting/ Strengthening of Permanent Bridge - San Isidro Br. 2 (B00150MR) along Jct MWCR (Sn Isidro)-Penal Colony-Jct Yapang Rd, Sablayan, Occidental Mindoro</t>
  </si>
  <si>
    <t>G (42) 016598</t>
  </si>
  <si>
    <t>RS TAGALA COBNSTRUCTION</t>
  </si>
  <si>
    <t>21EB0159</t>
  </si>
  <si>
    <t>Concreting of Brgy. Camburay FMR, Brgy. Camburay, San Jose, Occidental Mindoro.</t>
  </si>
  <si>
    <t>G (42) 46676</t>
  </si>
  <si>
    <t>ROROMISE CONSTRUCTION</t>
  </si>
  <si>
    <t>22EB0115</t>
  </si>
  <si>
    <t>Construction of Rainwater Collection System (RWCS), Occidental Mindoro: a) San Luis Day Care Center, Mamburao, b) Occidental Mindoro National Highschool, San Luis Extension, Mamburao, c) San Vicente Elementary school Annex, Sablayan, d) kabangkalan Elementary School, Sta. Cruz, e) Pinagturilan Elementary School, Sta. Cruz, f) Fatima Elementary School, Mamburao, g) Puricon Elementary School, Mamburao, h) Pola Elementary School, Mamburao, i) Talabaan Health Center, Mamburao, j) Cuarenta Elementary School, Sta. Cruz, k) Pag-asa Public Market, Sablayan, l) Libagon Elementary School, Sablayan, m) Taguan Elementary School, Mamburao, n) Brgy. Poblacion II Health Center, Sta. Cruz, o) Brgy. Mulawin Health Center, Sta. Cruz, p) Rumbang Elementary School, Rizal, q) Banilad Elementary School, Mamburao, r) Lanas Elementary School, Mamburao</t>
  </si>
  <si>
    <t>CAR 1009500</t>
  </si>
  <si>
    <t>G (13) A 57798</t>
  </si>
  <si>
    <t>G (40) 42765</t>
  </si>
  <si>
    <t>22EB0064</t>
  </si>
  <si>
    <t>Construction of Multi-Purpose Building,Barangay Udalo, Abra de Ilog, Occidental Mindoro</t>
  </si>
  <si>
    <t>G (42) 33819</t>
  </si>
  <si>
    <t>2YEARS</t>
  </si>
  <si>
    <t>22EB0025</t>
  </si>
  <si>
    <t>Rehabilitation/Major Repair of Permanent Bridge-Patrick Br. (BMR) along Mindoro West Coastal Road (Phase II)  Sablayan, Occidental Mindoro</t>
  </si>
  <si>
    <t>G (42) 33816</t>
  </si>
  <si>
    <t>Construction (Cpmpletion) of DPWH Motorpool Building, DPWH Mindoro Occidental DEO, Mamburao, Occidental Mindoro</t>
  </si>
  <si>
    <t>G (42) 33818</t>
  </si>
  <si>
    <t>G (42) 33817</t>
  </si>
  <si>
    <t>22EB0057</t>
  </si>
  <si>
    <t>Construction of Multi-Purpose Building, Barangay Adela, Rizal Occidental Mindoro</t>
  </si>
  <si>
    <t>G (42) 33820</t>
  </si>
  <si>
    <t>22EB0061</t>
  </si>
  <si>
    <t>Construction of Multi-Purpose Building, Barangay Pagasa, San Jose Occidental Mindoro</t>
  </si>
  <si>
    <t>G (42) 33821</t>
  </si>
  <si>
    <t>ORIENT STAR CONSTRUCTION, INC.</t>
  </si>
  <si>
    <t>G (42) 017754</t>
  </si>
  <si>
    <t>20EB0069</t>
  </si>
  <si>
    <t>Construction (Completion) of Multi-Purpose Building, Mamburao, Occidental Mindor</t>
  </si>
  <si>
    <t>G (41) 013232</t>
  </si>
  <si>
    <t>20EB0067</t>
  </si>
  <si>
    <t>Construction (Completion) of Multi-Purpose Building Brgy. Balansay, Mamburao, Occidental Mindor</t>
  </si>
  <si>
    <t>G (41) 013233</t>
  </si>
  <si>
    <t>20EB0032</t>
  </si>
  <si>
    <t>Rehabilitation/Major Repair of Bridge: Cabacao Bridge (B00213MR) Along Jct. MWCR (Bagong Silang)-Cabacao Div. Rd., Abra de Ilog, Occidental Mindoro</t>
  </si>
  <si>
    <t>G (41) 14097</t>
  </si>
  <si>
    <t>20EB0087</t>
  </si>
  <si>
    <t>Construction of Multi-Purpose Building, Brgy. Caminawit, San Jose, Occidental Mindoro</t>
  </si>
  <si>
    <t>G (41) 007940</t>
  </si>
  <si>
    <t>SOSEP BUILDERS</t>
  </si>
  <si>
    <t>18EB0180-R1</t>
  </si>
  <si>
    <t>Construction of Standard 2STY-4CL School Building (Batch 3), Tanyag NHS Calintaan, Occidental Mindoro</t>
  </si>
  <si>
    <t>G (41) 007939</t>
  </si>
  <si>
    <t xml:space="preserve">BM MARKETING </t>
  </si>
  <si>
    <t>21EB0085</t>
  </si>
  <si>
    <t>Construction of Drainage and School Ground Improvement in  Pilot Elementary School,Barangay 3, San Jose, Occidental Mindoro</t>
  </si>
  <si>
    <t>G (41) 22066</t>
  </si>
  <si>
    <t>20EB0110</t>
  </si>
  <si>
    <t xml:space="preserve">: Construction of Multi-Purpose Building, Occidental Mindoro Provincial Hospital, Mamburao, Occidental Mindoro </t>
  </si>
  <si>
    <t>G (41) 14098</t>
  </si>
  <si>
    <t>19EB0038-R1</t>
  </si>
  <si>
    <t>Construction of Flood Mitigation Structure-Constructionj of Flood Control Structure along Mangarin River, San Jose, Occidental Mindoro</t>
  </si>
  <si>
    <t>G (41) 013202</t>
  </si>
  <si>
    <t>19EB0036</t>
  </si>
  <si>
    <t>Construction of Flood Mitigation Structure - Construction of Flood control Structures along Busuanga River, (Adela Section), Rizal, Occidental Mindoro</t>
  </si>
  <si>
    <t>G (41) 013203</t>
  </si>
  <si>
    <t>19EB0037</t>
  </si>
  <si>
    <t>Construction of Flood Mitigation Structure- Construction of Flood Control Structure along Busuanga River, (Central Section), Rizal, Occidental Mindoro</t>
  </si>
  <si>
    <t>G (41) 013205</t>
  </si>
  <si>
    <t>19EB0017</t>
  </si>
  <si>
    <t>Reconstruction to Concrete Pavement-along Mindoro West Coastal Rd. (S00095MR) K0328+748-K0329+000;K0340+469-K0341+000,K0392+000-K0393+000 Sablayan, Occidental Mindoro</t>
  </si>
  <si>
    <t>G (41) 013204</t>
  </si>
  <si>
    <t>DUNGAN CONTRUCTORS &amp; TRADING</t>
  </si>
  <si>
    <t>19EB0066</t>
  </si>
  <si>
    <t>Construction of Flood Mitigation Structure-Construction of Pagbahan Flood Control (Pakilan Section), Sta. Cruz, Occidental Mindoro</t>
  </si>
  <si>
    <t>Construction of Gabions, Barangay Batong Buhay, Sablayan, Occidental Mindoro</t>
  </si>
  <si>
    <t>22EB0054</t>
  </si>
  <si>
    <t>22EB0070</t>
  </si>
  <si>
    <t>Construction of Evacuation Center, Sta. Cruz Central Elementary School, Barangay Poblacion, Sta. Cruz, Occidental Mindoro.</t>
  </si>
  <si>
    <t>Construction of Evacuation Center in Mabini II Elementary School, Barangay Mabini, San Jose, Occidental Mindoro</t>
  </si>
  <si>
    <t>22EB0062</t>
  </si>
  <si>
    <t>Construction of Multi-Purpose Building, Brgy. San Pedro, Rizal, Occidental Mindoro</t>
  </si>
  <si>
    <t>20EB0051</t>
  </si>
  <si>
    <t>Construction of Flood Control Structure Mompong River Marabong Section, Sablayan, Occidental Mindoro</t>
  </si>
  <si>
    <t>G (41) 013277</t>
  </si>
  <si>
    <t>20EB0055</t>
  </si>
  <si>
    <t>Construction of Flood Control Structure Amnay River Kabangkalan Section, Sablayan, Occidental Mindoro</t>
  </si>
  <si>
    <t>G (41) 013279</t>
  </si>
  <si>
    <t>20EB0053</t>
  </si>
  <si>
    <t>Construction of Flood Control Structures Busuanga River San Agustin Section, San Jose, Occidental Mindoro</t>
  </si>
  <si>
    <t>G (41) 013275</t>
  </si>
  <si>
    <t>20EB0056</t>
  </si>
  <si>
    <t>Construction of Flood Control Structure Amnay River Pag-asa Section, Sablayan, Occidental Mindoro</t>
  </si>
  <si>
    <t>G (41) 013274</t>
  </si>
  <si>
    <t>20EB0048</t>
  </si>
  <si>
    <t>Construction of Callejon Flood Control Structures Brgy. Tibag, Abra de Ilog, Occidental Mindoro</t>
  </si>
  <si>
    <t>G (41) 013276</t>
  </si>
  <si>
    <t>20EB0057</t>
  </si>
  <si>
    <t>Construction of Flood Control Structure Patrick River Brgy. Tagumpay Section, Sablayan, Occidental Mindoro</t>
  </si>
  <si>
    <t>G (41) 013272</t>
  </si>
  <si>
    <t>20EB0058</t>
  </si>
  <si>
    <t>Construction of Flood Control Structure Patrick River Victoria Section, Sablayan, Occidental Mindoro</t>
  </si>
  <si>
    <t>G (41) 013273</t>
  </si>
  <si>
    <t>20EB0009</t>
  </si>
  <si>
    <t>Construction of Road Slope Protection Structure along Mindoro West Coastal Rd - K0446 + 300 - K0446 + 380, Abra de Ilog, Occidental Mindoro</t>
  </si>
  <si>
    <t>G (41) 013280</t>
  </si>
  <si>
    <t>G (42) 001047041</t>
  </si>
  <si>
    <t>G (42) 001047042</t>
  </si>
  <si>
    <t>RKCE CONSTRUCTION</t>
  </si>
  <si>
    <t>22EB0059</t>
  </si>
  <si>
    <t>Construction of Multi-Purpose Building, Barangay Natandol, San Jose, Occidental Mindoro</t>
  </si>
  <si>
    <t>G (42) 001047040</t>
  </si>
  <si>
    <t>ER DELA CRUZ CONSTRUCTION</t>
  </si>
  <si>
    <t>22EB0053</t>
  </si>
  <si>
    <t>Construction of Flood Contol Structure Along Pagbahan River,Brgy. Alacaak, Sta. Cruz, Occ. Mindoro</t>
  </si>
  <si>
    <t>G (42) 017760</t>
  </si>
  <si>
    <t>DELROS CONSTRUCTION &amp; DEVELOPMENT</t>
  </si>
  <si>
    <t>20EB0133</t>
  </si>
  <si>
    <t>Construction of 2 STY-6CL, Concepcion NHS, Calintaan, Occidental Mindoro</t>
  </si>
  <si>
    <t>G (42) 33823</t>
  </si>
  <si>
    <t>Repair/Maintenance of various DPWH Public Buildings: c)AES-Guardhouse, Gate &amp; Perimeter Fence, San Jose, Occidental Mindoro</t>
  </si>
  <si>
    <t>G (42) 33822</t>
  </si>
  <si>
    <t>22EB0092</t>
  </si>
  <si>
    <t>Construction/ Improvement of Access Roads - Access Road leading to Wawa Fish Sanctuary and Beaches, Calintaan, Mindoro Occidental</t>
  </si>
  <si>
    <t>G (42) 017761</t>
  </si>
  <si>
    <t>Construction of Brgy. San Nicolas FMR, Sablayan, Occidental Mindoro</t>
  </si>
  <si>
    <t>G (42) 017762</t>
  </si>
  <si>
    <t>THREE W BUILDERS, INC.</t>
  </si>
  <si>
    <t>20EB0146</t>
  </si>
  <si>
    <t>Construction of Baluga Bridge, Brgy.Mapalad/Alipaoy, Paluan Occidental Mindoro</t>
  </si>
  <si>
    <t>G (41) 013282</t>
  </si>
  <si>
    <t>19EB0035</t>
  </si>
  <si>
    <t>Construction of Flood Mitigation Structure-Construction of Flood Control Sturcuture Sabang River, Sablayan,Occidental Mindoro</t>
  </si>
  <si>
    <t>G (41) 005062</t>
  </si>
  <si>
    <t>20EB0052</t>
  </si>
  <si>
    <t>Construction of Flood Control Structures Busuanga River Central Section, San Jose, Occidental Mindoro</t>
  </si>
  <si>
    <t>G (41) 007549</t>
  </si>
  <si>
    <t>19EB0049</t>
  </si>
  <si>
    <t>Construction of Flood Mitigation Structure- Construction of Flood Mitigation Structure along Amnay River (Ilvita Section), Sablayan, Occidental Mindoro</t>
  </si>
  <si>
    <t>G (41) 007519</t>
  </si>
  <si>
    <t>G (41) 13280</t>
  </si>
  <si>
    <t>19EB0046</t>
  </si>
  <si>
    <t>Construction of Flood Mitigation Structure – Construction of Flood Control Structures along Busuanga Flood Control, San Jose, Occidental Mindoro</t>
  </si>
  <si>
    <t>G (41) 007550</t>
  </si>
  <si>
    <t>19EB0026</t>
  </si>
  <si>
    <t>Retrofitting/ Strengthening of Bridge-Lumangbayan Br. (B00136MR) along Mindoro West Coastal Road Abra de Ilog, Occidental Mindoro</t>
  </si>
  <si>
    <t>20EB0010</t>
  </si>
  <si>
    <t>Construction of Road Slope Protection Structure along Bulalacao-Sn Jose-Jct Mapaya Rd - K0221 + 230 - K0221 + 605, Magsaysay, Occidental Mindoro</t>
  </si>
  <si>
    <t>G (41) 007548</t>
  </si>
  <si>
    <t>22EB0117</t>
  </si>
  <si>
    <t>Construction of 2STY 6CL, Canabang ES, Magsaysay, Occidental Mindoro</t>
  </si>
  <si>
    <t>G (13) 75315</t>
  </si>
  <si>
    <t>ALB-2022-EN-CARI-0001170-00</t>
  </si>
  <si>
    <t>G (40) 46681</t>
  </si>
  <si>
    <t>Construction of Flood Mitigation Structure-Construction of Flood Control Structures along Mompong River, Brgy. Sta. Lucia Section, Sablayan, Occidental Mindoro</t>
  </si>
  <si>
    <t>G (41) 013299</t>
  </si>
  <si>
    <t>19EB0040</t>
  </si>
  <si>
    <t>19EB0047</t>
  </si>
  <si>
    <t>Construction of Flood Mitigation Structure-Construction of Flood Control Structures along  Patrick River (Lagnas Section). Sablayan, Occidental Mindoro</t>
  </si>
  <si>
    <t>G (41) 005063</t>
  </si>
  <si>
    <t>19EB0039</t>
  </si>
  <si>
    <t>Construction of Flood Mitigation Structure-Construction of Flood Control Structures along  Mompong River, Brgy. Marabong Section. Sablayan, Occidental Mindoro</t>
  </si>
  <si>
    <t>G (41) 013297</t>
  </si>
  <si>
    <t>19EB0048</t>
  </si>
  <si>
    <t>Construction of Flood Mitigation Structure-Construction of Flood Control Structures along Patrick River (Libagon Section), Sablayan, Occidental Mindoro</t>
  </si>
  <si>
    <t>19EB0034</t>
  </si>
  <si>
    <t>Construction of Flood Mitigation Structure-Construction of Caguray Flood Control Structure, Magsaysay, Occidental Mindoro</t>
  </si>
  <si>
    <t>G (41) 013295</t>
  </si>
  <si>
    <t>19EB0013</t>
  </si>
  <si>
    <t>Construction of Anahawin Flood Control (Akasyahan Section), Calintaan, Occidental Mindoro</t>
  </si>
  <si>
    <t>G (41) 013293</t>
  </si>
  <si>
    <t>19EB0042</t>
  </si>
  <si>
    <t>Construction of Flood Mitigation Structure - Construction of Flood Control Structure along Rayusan and Viga River, Brgy. Paetan Sablayan, Occidental Mindoro</t>
  </si>
  <si>
    <t>G (41) 013300</t>
  </si>
  <si>
    <t>22EB0010</t>
  </si>
  <si>
    <t>Road Widening along Mindoro West Coastal Rd - K0371 + 215 - K0372 + 716, Sta. Cruz, Occidental Mindoro</t>
  </si>
  <si>
    <t>G (42) 017770</t>
  </si>
  <si>
    <t>19EB0080</t>
  </si>
  <si>
    <t>CLUSTER 2019VIILP-06: Construction/Completion of various Multi-purpose Buildings:a) Construction of Occidental Mindoro State College, Lubang Campus, Lubang,   Occidental Mindoro                                                                                                                                      b) Completion of Occidental Mindoro State College, Lubang Campus, Lubang, Occidental Mindoro</t>
  </si>
  <si>
    <t>20EB0064</t>
  </si>
  <si>
    <t>Construction/ Improvement of Access Roads leading to Cabra Island, Cabra Lighthouse and White Sand Beach, Lubang, Occidental Mindoro</t>
  </si>
  <si>
    <t>G (41) 9480</t>
  </si>
  <si>
    <t>G (41) 9476</t>
  </si>
  <si>
    <t xml:space="preserve">Construction of 2STY 6CL Concepcion NHS Calintaan, Occidental
</t>
  </si>
  <si>
    <t>G (41) 30165</t>
  </si>
  <si>
    <t>G (42) 017771</t>
  </si>
  <si>
    <t>RS TAGALA CONSTRUCTION &amp; EQUIPMENT RENTALS</t>
  </si>
  <si>
    <t>G (42) 017777</t>
  </si>
  <si>
    <t>FAAA CONSTRUCTION AND TRADING</t>
  </si>
  <si>
    <t>22EB0116</t>
  </si>
  <si>
    <t>Construction of 1STY 2CL,Agkawayan ES, Looc, Occidental Mindoro</t>
  </si>
  <si>
    <t>G (13) A 75313</t>
  </si>
  <si>
    <t>ALB 2023 EN CARI 000425 00</t>
  </si>
  <si>
    <t>G (40) 21928</t>
  </si>
  <si>
    <t>Construction of Water System. Barangay Talabaan,Mamburao, Occidental Mindoro</t>
  </si>
  <si>
    <t>G (42) 017776</t>
  </si>
  <si>
    <t>ORIENT STAR CONSTRUCTION INC.</t>
  </si>
  <si>
    <t>Construction of Water System , including Pipes Installation at Barangay Talabaan, Mamburao, Occidental Mindoro</t>
  </si>
  <si>
    <t>G (42) 017774</t>
  </si>
  <si>
    <t>G (42) 017775</t>
  </si>
  <si>
    <t>Emergency Repair/ Maintenance Kambingan Section (Slope Protection) K0345+350, Sablayan, Occidental Mindoro</t>
  </si>
  <si>
    <t>G (42) 33838</t>
  </si>
  <si>
    <t>22EB0119</t>
  </si>
  <si>
    <t>Construction of Municipal Sports Complex (Granstand),Sta. Cruz, Occidental Mindoro</t>
  </si>
  <si>
    <t>G (42) 33842</t>
  </si>
  <si>
    <t>22EB0076</t>
  </si>
  <si>
    <t>Construction of Abra de Ilog Coast Guard Sub-Station, Brgy. Lumang Bayan, Abra de Ilog, Occidental Mindoro</t>
  </si>
  <si>
    <t>G (42) 33840</t>
  </si>
  <si>
    <t>Construction of Rainwater Collection System (RWCS), Occidental Mindoro: a) Mamburao Central School, Mamburao, b) Payompon Elementary School, Mamburao, c) Balansay Elementary School, Mamburao, d) Tambunakan Elementary School, Mamburao, e) Tug-ilan Elementary School, Mamburao, f) Tayamaan Elementary School, Mamburao, g) Dapi Elementary School, Mamburao, h) Payompon Barangay Hall, Mamburao, i) Brgy. Payompon Health Center, Mamburao</t>
  </si>
  <si>
    <t>G (42) 33836</t>
  </si>
  <si>
    <t>G (42) 33839</t>
  </si>
  <si>
    <t>ST. GERRARD CONSTRUCTION GEN. CONTRACTOR'S DEVELOPMENT</t>
  </si>
  <si>
    <t>22EB0048</t>
  </si>
  <si>
    <t>Construction of Road at Highway Junction to Barangay Proper, Tanyag, Calintaan, Occidental Mindoro</t>
  </si>
  <si>
    <t>G (42) 33841</t>
  </si>
  <si>
    <t>a</t>
  </si>
  <si>
    <t>21EB0032</t>
  </si>
  <si>
    <t>Construction of Concrete Road along Jct. MWCR (Labangan) –Murtha-Jct., Iriron Road Poypoy Section, Calintaan, Occidental Mindoro</t>
  </si>
  <si>
    <t>G (42) 019433</t>
  </si>
  <si>
    <t>SYNDTITE CONSTRUCTION CORPORATION/1129 BUILDERS (JV)</t>
  </si>
  <si>
    <t>23EB0019</t>
  </si>
  <si>
    <t xml:space="preserve">Construction of New Bridges - Darundong Br. along Sablayan-Penal Colony Road, Sablayan, Occidental Mindoro </t>
  </si>
  <si>
    <t>G (13) A 001063206</t>
  </si>
  <si>
    <t>CAR 033803/2023</t>
  </si>
  <si>
    <t>23EB0040</t>
  </si>
  <si>
    <t>Construction/Improvement of Access Roads leading to Declared Tourism Destinations, Devil's Mountain and Farms, Brgy. Batasan, San Jose, Mindoro Occidental</t>
  </si>
  <si>
    <t>G (13) A 001063202</t>
  </si>
  <si>
    <t>CAR 0033800/2023</t>
  </si>
  <si>
    <t>23EB0053</t>
  </si>
  <si>
    <t>Construction of Multi-Purpose Building, Barangay Payompon, Mamburao, Occidental Mindoro</t>
  </si>
  <si>
    <t>G (13) A 001063201</t>
  </si>
  <si>
    <t>CAR 0033799/2023</t>
  </si>
  <si>
    <t>23EB0042</t>
  </si>
  <si>
    <t>Construction/Improvement of Access Roads Leading to Declared Tourism Destinations, Wawa Fish Sanctuary and Beaches, Calintaan, Mindoro Occidenta</t>
  </si>
  <si>
    <t>G (13) A 001063200</t>
  </si>
  <si>
    <t>CAR 0033798/2023</t>
  </si>
  <si>
    <t>23EB0043-R1</t>
  </si>
  <si>
    <t xml:space="preserve">Access Roads and/or Bridges from the National Road/s leading to Major/Strategic Public Buildings/Facilities: Construction of Pagbahan River Irrigation System Right Service Road, Barangay Mulawin, Sta. Cruz, Occidental Mindoro (KATUBIGAN - Kalsada Tungo sa Patubigan), Sta. Cruz, Occidental Mindoro </t>
  </si>
  <si>
    <t>G (13) A 001063199</t>
  </si>
  <si>
    <t>CAR 0033797/2023</t>
  </si>
  <si>
    <t>23EB0049</t>
  </si>
  <si>
    <t>Construction of Multi-Purpose Building, Barangay 8, Mamburao, Occidental Mindoro</t>
  </si>
  <si>
    <t>G (13) A 001063203</t>
  </si>
  <si>
    <t>CAR 0033801/2023</t>
  </si>
  <si>
    <t>23EB0060</t>
  </si>
  <si>
    <t>Construction of Level II Water System, Barangay Payompon, Mamburao, Occidental Mindoro</t>
  </si>
  <si>
    <t>CAR 0033802/2023</t>
  </si>
  <si>
    <t>G (13) A 001063204</t>
  </si>
  <si>
    <t>23EB0003</t>
  </si>
  <si>
    <t>Rehabilitation/Reconstruction/Upgrading of Damaged Paved Roads - Secondary Roads - Mindoro West Coastal Rd - K0432 + 264 - K0433 + 646, Abra de Ilog, Occidental Mindoro</t>
  </si>
  <si>
    <t>G (40) 009974</t>
  </si>
  <si>
    <t xml:space="preserve"> G (13) A 017666</t>
  </si>
  <si>
    <t>CAR-MNDR-0007745</t>
  </si>
  <si>
    <t>Construction of Missing Links/New Roads - Junction MWCR (Labangan)- Murtha- Jct Iriron Road, Mindoro Occidental, Rizal, Occidental Mindoro</t>
  </si>
  <si>
    <t>23EB0038</t>
  </si>
  <si>
    <t>JELSIE CONSTRUCTION</t>
  </si>
  <si>
    <t>G (40) 42783</t>
  </si>
  <si>
    <t>23EB0045</t>
  </si>
  <si>
    <t>Construction of Flood Control Structure, Barangay Burol, Looc, Occidental Mindoro</t>
  </si>
  <si>
    <t>G (40) 42770</t>
  </si>
  <si>
    <t>WAYMAKER GENERAL CONTRACTOR OPC</t>
  </si>
  <si>
    <t>23EB0018</t>
  </si>
  <si>
    <t>Widening of Permanent Bridges - Ligang Br. (B00244MR) along Mindoro West Coastal Rd</t>
  </si>
  <si>
    <t>G (40) 42785</t>
  </si>
  <si>
    <t>23EB0024</t>
  </si>
  <si>
    <t>Construction of Patrick Flood Control (Kambingan Section), Sta. 0+000 - Sta. 0+433, Sablayan, Occidental Mindoro</t>
  </si>
  <si>
    <t>G (40) 42769</t>
  </si>
  <si>
    <t>23EB0050</t>
  </si>
  <si>
    <t>Construction of Multi-Purpose Building, Barangay Guitna, Looc, Occidental Mindoro</t>
  </si>
  <si>
    <t>G (40) 42781</t>
  </si>
  <si>
    <t>23EB0046</t>
  </si>
  <si>
    <t>Construction of Multi-Purpose Building, Barangay 5, Paluan, Occidental Mindoro</t>
  </si>
  <si>
    <t>G (40) 42784</t>
  </si>
  <si>
    <t>23EB0015-R1</t>
  </si>
  <si>
    <t xml:space="preserve">Retrofitting/Strengthening of Permanent Bridges - Amnay Br. (B00102MR) along Mindoro West Coastal Rd (Phase III), Sablayan, Occidental Mindoro </t>
  </si>
  <si>
    <t>G (40) 42782</t>
  </si>
  <si>
    <t>23EB0012</t>
  </si>
  <si>
    <t xml:space="preserve">Construction of Missing Links/New Roads -Junction MWCR (Labangan)- Murtha- Jct Iriron Road, Poypoy Section, Mindoro Occidental, Calintaan, Occidental Mindoro </t>
  </si>
  <si>
    <t>G (40) 42768</t>
  </si>
  <si>
    <t>AMETHYST HORIZON BUILDERS &amp; GEN. CONTRACTOR &amp; DEVT</t>
  </si>
  <si>
    <t>23EB0058</t>
  </si>
  <si>
    <t>Construction of Level II Water System, Barangay Batong Buhay, Sablayan, Occidental Mindoro</t>
  </si>
  <si>
    <t>CAR 1025960</t>
  </si>
  <si>
    <t>CAR 1025954</t>
  </si>
  <si>
    <t>G (13) A 423772</t>
  </si>
  <si>
    <t>G (13) A 57817</t>
  </si>
  <si>
    <t>CAR 1025955</t>
  </si>
  <si>
    <t>CAR 1025958</t>
  </si>
  <si>
    <t>CAR 1025956</t>
  </si>
  <si>
    <t>G (13) A 57818</t>
  </si>
  <si>
    <t>CAR 1025957</t>
  </si>
  <si>
    <t>G (13) A 57819</t>
  </si>
  <si>
    <t>CAR 1025952</t>
  </si>
  <si>
    <t>G (13) A 57799</t>
  </si>
  <si>
    <t>G (13) A 57821</t>
  </si>
  <si>
    <t>G (13) A 57816</t>
  </si>
  <si>
    <t>CAR 1025959</t>
  </si>
  <si>
    <t>G (13) A 57820</t>
  </si>
  <si>
    <t>G (13) A 57805</t>
  </si>
  <si>
    <t>CAR 1025953</t>
  </si>
  <si>
    <t>STX ENTERPRISES</t>
  </si>
  <si>
    <t>23EB0066</t>
  </si>
  <si>
    <t>Construction of DPWH Mindoro Occidental District Engineering Sub-Office, Brgy. San Roque, San Jose, Occidental Mindoro</t>
  </si>
  <si>
    <t>G (40) 42794</t>
  </si>
  <si>
    <t>CAR 1025969</t>
  </si>
  <si>
    <t>G (13) A 57835</t>
  </si>
  <si>
    <t>23EB0013</t>
  </si>
  <si>
    <t>G (40) 42792</t>
  </si>
  <si>
    <t>YPR GENERAL CONTRACTOR AND CONSTRUCTION SUPPLY INC.</t>
  </si>
  <si>
    <t>23EB0021</t>
  </si>
  <si>
    <t>Construction of Flood Control Structure along Patrick River, Barangay Paetan Section, Sta. 0+000 - Sta. 0+394, Sablayan, Occidental Mindoro</t>
  </si>
  <si>
    <t>G (40) 42790</t>
  </si>
  <si>
    <t>MIGHTY DRAGON BUILDERS INC.</t>
  </si>
  <si>
    <t>23EB0061</t>
  </si>
  <si>
    <t>Construction of Level II Water System, Barangay Poblacion, Magsaysay, Occidental Mindoro</t>
  </si>
  <si>
    <t>G (40) 42797</t>
  </si>
  <si>
    <t>GREAT PACIFIC BUILDERS AND GEN. CONTRACTOR INC./MICKU ROBIN CONST. (JV)</t>
  </si>
  <si>
    <t>22EB0039-R1</t>
  </si>
  <si>
    <t>Construction of Tanyag Flood Control Structure along Lumintao River, Sitio Alipundo, Sta. 0+000 – Sta. 0+604, Calintaan, Occidental Mindoro</t>
  </si>
  <si>
    <t>G (40) 42738</t>
  </si>
  <si>
    <t>23EB0035</t>
  </si>
  <si>
    <t>Construction of Flood Control Structure along Amnay River, Kabangkalan Section, Sta. 0+000 - Sta. 0+449, Sablayan, Occidental Mindoro</t>
  </si>
  <si>
    <t>G (40) 42737</t>
  </si>
  <si>
    <t>23EB0033</t>
  </si>
  <si>
    <t>Construction of Flood Control Structure along Amnay River, Guitong Section, Sta. 0 + 000 - Sta. 0 + 459, Sablayan, Occidental Mindoro</t>
  </si>
  <si>
    <t>G (40) 42736</t>
  </si>
  <si>
    <t>23EB0011</t>
  </si>
  <si>
    <t>Construction of Missing Links/New Roads -Bulalacao-San Jose-Jct Mapaya Road, Occidental Mindoro</t>
  </si>
  <si>
    <t>G (40) 42766</t>
  </si>
  <si>
    <t>23EB0027</t>
  </si>
  <si>
    <t>Construction of Anahawin River Flood Control Structure, Barangay Iriron, Sta. 0 + 000 - Sta. 0 + 680, Calintaan, Occidental Mindoro</t>
  </si>
  <si>
    <t>G (40) 42739</t>
  </si>
  <si>
    <t>23EB0016</t>
  </si>
  <si>
    <t xml:space="preserve">Retrofitting/Strengthening of Permanent Bridges - Aruyan Br. 2 (B00157MR) along Jct MWCR (Sn Isidro)-Penal Colony-Jct Yapang Rd, Sablayan, Occidental Mindoro </t>
  </si>
  <si>
    <t>G (13) A 57832</t>
  </si>
  <si>
    <t>CAR 1025963</t>
  </si>
  <si>
    <t>G (13) A 57823</t>
  </si>
  <si>
    <t>CAR 1025961</t>
  </si>
  <si>
    <t>G (13) A 57825</t>
  </si>
  <si>
    <t>CAR 1025964</t>
  </si>
  <si>
    <t>G (13) A 57827</t>
  </si>
  <si>
    <t>23EB0039-R1</t>
  </si>
  <si>
    <t>CAR 1025965</t>
  </si>
  <si>
    <t>G (13) A 57833</t>
  </si>
  <si>
    <t>CAR 1025967</t>
  </si>
  <si>
    <t>G (13) A 57834</t>
  </si>
  <si>
    <t>CAR 1025966</t>
  </si>
  <si>
    <t>CAR 1025968</t>
  </si>
  <si>
    <t>AYANA CONSTRUCTION AND TRADING</t>
  </si>
  <si>
    <t>23EB0068</t>
  </si>
  <si>
    <t>Construction of Multi-Purpose Building, Municipal Cooperative Development Council (MCDC), San Jose, Occidental Mindoro</t>
  </si>
  <si>
    <t>G (13) A 017673</t>
  </si>
  <si>
    <t>MRRM TRADING &amp; CONSTRUCTION</t>
  </si>
  <si>
    <t>23EB0064</t>
  </si>
  <si>
    <t>Construction of DPWH Mindoro Occidental District Engineering Sub-Office, Brgy. Araw at Bituin and Brgy. Maliig, Lubang, Occidental Mindoro</t>
  </si>
  <si>
    <t>G (13) A 017672</t>
  </si>
  <si>
    <t>CAR MNDR 0007742</t>
  </si>
  <si>
    <t>23EB0067-R1</t>
  </si>
  <si>
    <t>Access Road from the National Road Connecting to Indigenous People (IP) Communities; Construction of Road, End of Phase 1, Sitio Saligsig to Sitio Catmon Phase II, in Barangay Magsikap, Rizal, Occidental Mindoro</t>
  </si>
  <si>
    <t>G (13) A 017674</t>
  </si>
  <si>
    <t>CAR MNDR 0007744</t>
  </si>
  <si>
    <t>23EB0041-R1</t>
  </si>
  <si>
    <t xml:space="preserve">Construction/Improvement of Access Roads Leading to Declared Tourism Destinations, Luyang Baga Cave, Abra de Ilog, Occidental Mindoro </t>
  </si>
  <si>
    <t>CAR MNDR 0007747</t>
  </si>
  <si>
    <t>G (13) A 017676</t>
  </si>
  <si>
    <t>CAR MNDR 0007743</t>
  </si>
  <si>
    <t>23EB0065</t>
  </si>
  <si>
    <t>Construction of DPWH Mindoro Occidental District Engineering Sub-Office, Brgy. Busaran, Sablayan, Occidental Mindoro</t>
  </si>
  <si>
    <t>G (40) 009977</t>
  </si>
  <si>
    <t>CAR MNDR 0007746</t>
  </si>
  <si>
    <t>G (13) A 017675</t>
  </si>
  <si>
    <t>G (40) 009976</t>
  </si>
  <si>
    <t>FA TORRES CONSTRUCTION</t>
  </si>
  <si>
    <t>23EB0022</t>
  </si>
  <si>
    <t>Construction of Flood Control Structure along Patrick River, Barangay Tagumpay Section, Sta. 0+000 - Sta. 0+440, Sablayan, Occidental Mindoro</t>
  </si>
  <si>
    <t>G (40) 009975</t>
  </si>
  <si>
    <t>CAR ALB 2023 EN CARI 000439 00</t>
  </si>
  <si>
    <t>Road Widening-Mindoro West Coastal Road-K0331+00-K0332+500, Sablayan, Occidental Mindoro</t>
  </si>
  <si>
    <t>G (42) 33843</t>
  </si>
  <si>
    <t>22EB0110</t>
  </si>
  <si>
    <t>Repair/Maintenance of Slope Protection and Top Base of Existing Mamburao Revetment, Brgy. 8 &amp; 9, Mamburao, Occidental Mindoro</t>
  </si>
  <si>
    <t>G (42) 33844</t>
  </si>
  <si>
    <t>AMETHYST HORIZON BUILDERS AND GEN. CONTRACTOR AND DEVELOPMENT CORP.</t>
  </si>
  <si>
    <t>G (40) 42795</t>
  </si>
  <si>
    <t>F.A. TORRES CONSTRUCTION/MIGHTY DRAGON BUILDERS INC. (JV)</t>
  </si>
  <si>
    <t>23EB0028</t>
  </si>
  <si>
    <t>Construction of Busuanga Flood Control Structure (Adela Section), Sta. 0 + 000 - Sta. 0 + 418, Rizal, Occidental Mindoro</t>
  </si>
  <si>
    <t>G (13) A 011260</t>
  </si>
  <si>
    <t>G (13) A 011257</t>
  </si>
  <si>
    <t>23EB0048</t>
  </si>
  <si>
    <t>Construction of Multi-Purpose Building, Barangay 7, San Jose, Occidental Mindoro</t>
  </si>
  <si>
    <t>G (13) A 011259</t>
  </si>
  <si>
    <t>G (13) A 011258</t>
  </si>
  <si>
    <t>CAR MNDR 0003727</t>
  </si>
  <si>
    <t>CAR MNDR 0003726</t>
  </si>
  <si>
    <t>CAR MNDR 0003728</t>
  </si>
  <si>
    <t>CAR MNDR 0003778</t>
  </si>
  <si>
    <t>23EB0026</t>
  </si>
  <si>
    <t>Construction of Anahawin Flood Control Structure (Poypoy East and West Section), Sta. 0 + 000 - Sta. 0 + 682, Calintaan, Occidental Mindoro</t>
  </si>
  <si>
    <t>G (40) 001029299</t>
  </si>
  <si>
    <t>G (40) 001029293</t>
  </si>
  <si>
    <t>G (40) 001029292</t>
  </si>
  <si>
    <t>G (40) 001029294</t>
  </si>
  <si>
    <t>G (40) 001029295</t>
  </si>
  <si>
    <t>G (40) 001029298</t>
  </si>
  <si>
    <t>G (40) 001029297</t>
  </si>
  <si>
    <t>G (40) 001029296</t>
  </si>
  <si>
    <t>CAR 033804/2023</t>
  </si>
  <si>
    <t>G (40) 009971</t>
  </si>
  <si>
    <t>G (40) 009972</t>
  </si>
  <si>
    <t>G (40) 009973</t>
  </si>
  <si>
    <t>23EB0057</t>
  </si>
  <si>
    <t>Construction of Level II Water System, Barangay Alipaoy, Paluan, Occidental Mindoro</t>
  </si>
  <si>
    <t>G (40) 009978</t>
  </si>
  <si>
    <t>FIRMABUILT CONSTRUCTION</t>
  </si>
  <si>
    <t>23EB0056</t>
  </si>
  <si>
    <t>Construction of Multi-Purpose Building, Barangay Santa Lucia, Sablayan, Occidental Mindoro</t>
  </si>
  <si>
    <t>CAR033796</t>
  </si>
  <si>
    <t>G (13) A 001063198</t>
  </si>
  <si>
    <t>G (40) 001029291</t>
  </si>
  <si>
    <t>Construction of Tanyag Flood Control Structure along Lumintao River, Barangay Proper, Sta. 0 + 000 - Sta. 0 + 633, Calintaan, Occidental Mindoro</t>
  </si>
  <si>
    <t>ALB 2023 EN CARI 000438 00</t>
  </si>
  <si>
    <t>G (13) a 28000045 00</t>
  </si>
  <si>
    <t>G (13) a 28000044 00</t>
  </si>
  <si>
    <t>HI TONE CONSTRUCTION &amp; DEVELOPMENT CORPORATION</t>
  </si>
  <si>
    <t>22EB0047</t>
  </si>
  <si>
    <t>Construction of Concrete Road-Construction of Hinugasan-Pamutusin Road, Paluan, Occidental Mindoro</t>
  </si>
  <si>
    <t>G (42) 001047065</t>
  </si>
  <si>
    <t>21EB0028</t>
  </si>
  <si>
    <t>Road Widening along Mindoro West Coastal Rd. K0</t>
  </si>
  <si>
    <t>FA TORRES CONSTRUCTION/ MIGHTY DRAGON BUILDERS INC. (JV)</t>
  </si>
  <si>
    <t>23EB0030</t>
  </si>
  <si>
    <t>Construction of Busuaga Food Control Structure (San Pedro Section),Sta. 0+000 - Sta. 0+320, Rizal, Occidental Mindoro</t>
  </si>
  <si>
    <t>CAR 1025971</t>
  </si>
  <si>
    <t>G (13) A 57837</t>
  </si>
  <si>
    <t>23EB0025</t>
  </si>
  <si>
    <t>Construction of Seawall, Brgy. Bonbon, Sat. 0+000-Sta. 0+320, Looc, Occidental Mindoro</t>
  </si>
  <si>
    <t>G (13) A 57836</t>
  </si>
  <si>
    <t>CAR 1025970</t>
  </si>
  <si>
    <t>23EB0031</t>
  </si>
  <si>
    <t>Construction of Busuanga Flood Control Structure (Sto. Niño Section), Sta. 0 + 000 - Sta. 0 + 320, Rizal, Occidental Mindoro</t>
  </si>
  <si>
    <t>CAR 1025972</t>
  </si>
  <si>
    <t>G (13) A 57838</t>
  </si>
  <si>
    <t>G (42) 019436</t>
  </si>
  <si>
    <t>G (41) 015770</t>
  </si>
  <si>
    <t>20EB0049</t>
  </si>
  <si>
    <t>Construction of Flood Control Project, Busuanga River (Adela Section) Rizal, Occidental Mindoro</t>
  </si>
  <si>
    <t>G (41) 015772</t>
  </si>
  <si>
    <t>ANORE CONSTRUCTION</t>
  </si>
  <si>
    <t>Rehabilitation/Reconstruction/Upgrading of Damaged Paved Roads - Tertiary Roads - Tagbac-Lubang-Looc Rd - K0007 + 151 - K0007 + 355; K0007 + 395 - K0007 + 631, Lubang, Occidental Mindoro</t>
  </si>
  <si>
    <t>G (13) A 087902</t>
  </si>
  <si>
    <t>ROMEO P. ARZADON</t>
  </si>
  <si>
    <t>23EB0007</t>
  </si>
  <si>
    <t>CAR 65677</t>
  </si>
  <si>
    <t xml:space="preserve">UNTIL THE ADVANCE PAYMENT IS FULLY RECOUPED </t>
  </si>
  <si>
    <t>G (40) 045595</t>
  </si>
  <si>
    <t>23EB0008</t>
  </si>
  <si>
    <t xml:space="preserve">Rehabilitation/Reconstruction/Upgrading of Damaged Paved Roads - Tertiary Roads -Tagbac-Lubang-Looc Rd - K0014 + 691 - K0014 + 791, K0015 + 228 - K0015 + 412, K0015 + 845 - K0015 + 890, Lubang, Occidental Mindoro </t>
  </si>
  <si>
    <t>G (13) A 087903</t>
  </si>
  <si>
    <t>CAR 65678</t>
  </si>
  <si>
    <t>G (40) 045596</t>
  </si>
  <si>
    <t>23EB0010</t>
  </si>
  <si>
    <t>Rehabilitation/Reconstruction/Upgrading of Damaged Paved Roads - Tertiary Roads - Tagbac-Lubang-Looc Rd - K0029 + 357 - K0029 + 516, Looc, Occidental Mindoro</t>
  </si>
  <si>
    <t>G (13) A 087905</t>
  </si>
  <si>
    <t>CAR 65680</t>
  </si>
  <si>
    <t>G (40) 045598</t>
  </si>
  <si>
    <t>23EB0044</t>
  </si>
  <si>
    <t>Construction of Flood Control Structure, Barangay Bulacan, Looc, Occidental Mindoro</t>
  </si>
  <si>
    <t>G (13) A 087904</t>
  </si>
  <si>
    <t>CAR 65679</t>
  </si>
  <si>
    <t>G (40) 045597</t>
  </si>
  <si>
    <t>22EB0063</t>
  </si>
  <si>
    <t>Construction of Multi-Purpose Building, Barangay Tagumpay, Sablayan, Occidental Mindoro</t>
  </si>
  <si>
    <t>G (42) 019437</t>
  </si>
  <si>
    <t>Network Development – Off-Carriageway Improvement including Drainage, Sablayan Penal Colony Road – K0331+736 – K0333+512, S00101MR  Sablayan, Occidental Mindoro</t>
  </si>
  <si>
    <t>Asset Preservation of National Roads –Construction/Upgrading/Rehabilitation of Drainage along National Roads, Sablayan Penal Colony Road – K0324+(-)041 – K0325+880, K0326+706 – K0326+959, S00101MR Sablayan, Occidental Mindoro</t>
  </si>
  <si>
    <t>23EB0034</t>
  </si>
  <si>
    <t>Construction of Flood Control Structure along Amnay River, Ilvita Section, Sta. 0+ 000- Sta. 0+314, Sablayan, Occidental Mindoro</t>
  </si>
  <si>
    <t>CAR MNDR 0007749</t>
  </si>
  <si>
    <t>G (13) A 017678</t>
  </si>
  <si>
    <t>KEJAMARENIK CONSTRUCTION &amp; CONSTRUCTION SUPPLIES/RMAJ CONSTRUCTION (JV)</t>
  </si>
  <si>
    <t>23EB0029</t>
  </si>
  <si>
    <t>Construction of Busuanga Flood Control Structure (San Agustin Section), Sta. 0+000- Sta. 0+330, San Jose, Occidental Mindoro</t>
  </si>
  <si>
    <t>CAR MNDR 0007748</t>
  </si>
  <si>
    <t>G (13) A 017677</t>
  </si>
  <si>
    <t>23EB0054-R2</t>
  </si>
  <si>
    <t>Construction of Multi-Purpose Building, Barangay Poblacion, Calintaan, Occidental Mindoro</t>
  </si>
  <si>
    <t>CAR MNDR 0007751</t>
  </si>
  <si>
    <t>G (13) A 017680</t>
  </si>
  <si>
    <t>23EB0055</t>
  </si>
  <si>
    <t>Construction of Multi-Purpose Building, Barangay Poblacion, Magsaysay, Occidental Mindoro</t>
  </si>
  <si>
    <t>CAR MNDR 0007750</t>
  </si>
  <si>
    <t>G (13) A 017679</t>
  </si>
  <si>
    <t>23EB0070-R1</t>
  </si>
  <si>
    <t>Construction of Flood Control Structures, Barangay Poblacion, Looc, Occidental Mindoro</t>
  </si>
  <si>
    <t>CAR 1025974</t>
  </si>
  <si>
    <t>G (13) A 57840</t>
  </si>
  <si>
    <t>23EB0082</t>
  </si>
  <si>
    <t>Basic Infrastracture Program-Access Road and/or Bridges from the National Road/s leading to Major/Strategic Public Buildings/Facilities-Construction of Navarro-Akle Road in Barangay Sorville and Maliig, Lubang Occidental Mindoro.</t>
  </si>
  <si>
    <t>CAR 1025975</t>
  </si>
  <si>
    <t>G (13) A 57815</t>
  </si>
  <si>
    <t>23EB0017-R1</t>
  </si>
  <si>
    <t>Rehabilitation/Major Repair of Permanent Bridges-Mompong-Yapang Br. (B00158MR) along Jct. MWCR (Sn Isidro) -Penal Colony-Jct. Yapang Rd, Sablayan, Occidental Mindoro</t>
  </si>
  <si>
    <t>CAR 1025973</t>
  </si>
  <si>
    <t>G (13) A 57839</t>
  </si>
  <si>
    <t>Construction of Flood Control Structure along Amnay River, Claudio Salgado Section, Sta.0+000-Sta.0+310 Sablayan, Occidental Mindoro</t>
  </si>
  <si>
    <t>ALB 2023 EN CARI 000463 00</t>
  </si>
  <si>
    <t>G (13) A 28000079 00</t>
  </si>
  <si>
    <t>G (40) 42800</t>
  </si>
  <si>
    <t>G (40) 42796</t>
  </si>
  <si>
    <t>G (40) 42798</t>
  </si>
  <si>
    <t>G (40) 001033607</t>
  </si>
  <si>
    <t>G (40) 009986</t>
  </si>
  <si>
    <t>G (40) 009985</t>
  </si>
  <si>
    <t>G (40) 009987</t>
  </si>
  <si>
    <t>G (40) 009983</t>
  </si>
  <si>
    <t>23EB0006</t>
  </si>
  <si>
    <t>Rehabilitation/Reconstruction/Upgrading of Damaged Paved Roads - Tertiary Roads - Jct TLLR-Kusang Loob Rd - K0001 + (-764) - K0001 + (-755), K0001 + (-509) - K0001 + (-327), K0001 + (-317) - K0001 + (-300), Lubang, Occidental Mindoro</t>
  </si>
  <si>
    <t>G (13) A 017687</t>
  </si>
  <si>
    <t>G (40) 009991</t>
  </si>
  <si>
    <t>CAR MNDR 0007758</t>
  </si>
  <si>
    <t>23EB0009</t>
  </si>
  <si>
    <t>Rehabilitation/Reconstruction/Upgrading of Damaged Paved Roads - Tertiary Roads - Tagbac-Lubang-Looc Rd - K0018 + 058 - K0018 + 568, K0019 + 762 - K0019 + 880, Lubang, Occidental Mindoro</t>
  </si>
  <si>
    <t>G (40) 009990</t>
  </si>
  <si>
    <t>23EB0090</t>
  </si>
  <si>
    <t>Concreting of Brgy. Burgos FMR, Brgy. Burgos, Sablayan, Occidental Mindoro</t>
  </si>
  <si>
    <t>G (40) 009993</t>
  </si>
  <si>
    <t>23EB0063</t>
  </si>
  <si>
    <t>Construction (Completion) of Two (2) Storey Hostel Building, DPWH Mindoro Occidental District Engineering Office, Mamburao, Occidental</t>
  </si>
  <si>
    <t>G (40) 009992</t>
  </si>
  <si>
    <t>23EB0089</t>
  </si>
  <si>
    <t>Concreting of Barangay Tanyag FMR, Brgy. Tanyag, Calintaan, Occidental Mindoro</t>
  </si>
  <si>
    <t>G (13) A 69291</t>
  </si>
  <si>
    <t xml:space="preserve">STERLING INSURANCE COMPANY,INC. </t>
  </si>
  <si>
    <t>CAR  47378</t>
  </si>
  <si>
    <t>G (13) A 017689</t>
  </si>
  <si>
    <t>CAR MNDR 0007757</t>
  </si>
  <si>
    <t>G (13) A 017688</t>
  </si>
  <si>
    <t>CAR MNDR 0007756</t>
  </si>
  <si>
    <t>G (13) A 022101</t>
  </si>
  <si>
    <t>CAR MNDR 0007759</t>
  </si>
  <si>
    <t>Construction of Flood Control Structure, Patrick River, Lagnas Section, Sta. 0+000, Sta. 0+390, Sablayan Occidental Mindoro</t>
  </si>
  <si>
    <t>G (42) 017788</t>
  </si>
  <si>
    <t>G (40) 32332</t>
  </si>
  <si>
    <t>20EB0018</t>
  </si>
  <si>
    <t>Construction of Concrete Road along Bulalacao-San Jose-Jct Mapaya Road, Occidental Mindoro, Magsaysay, Occidental Mindoro</t>
  </si>
  <si>
    <t>G (13) A 017685</t>
  </si>
  <si>
    <t>23EB0088</t>
  </si>
  <si>
    <t xml:space="preserve">Concreting of Sitio Gregorio Ramos to Sitio Limlim, Bgry. Rizal FMR, Brgy. Rizal, Rizal, Occidental Mindoro
</t>
  </si>
  <si>
    <t>CAR MNDR 0007760</t>
  </si>
  <si>
    <t>G (13) A 022102</t>
  </si>
  <si>
    <t>AL HARIS CONSTRUCTION</t>
  </si>
  <si>
    <t>23EB0059-R2</t>
  </si>
  <si>
    <t>Construction of Level  II Water System, Brgy. Ipil, San Jose, Occidemtal Mindoro</t>
  </si>
  <si>
    <t>CAR MNDR 0007761</t>
  </si>
  <si>
    <t>G 13 (A) 022103</t>
  </si>
  <si>
    <t>G (40)  009996</t>
  </si>
  <si>
    <t>G (40)  009997</t>
  </si>
  <si>
    <t>23EB0084</t>
  </si>
  <si>
    <t xml:space="preserve">Construction of Multi-Purpose Facility (Covered Court), Brgy. Tangal, Lubang, Occidental Mindoro </t>
  </si>
  <si>
    <t>G (13) A 017684</t>
  </si>
  <si>
    <t>CAR MNDR 0007754</t>
  </si>
  <si>
    <t>23EB0083</t>
  </si>
  <si>
    <t>Basic Infrastracture Program-Access Road and/or Bridges from the National Road/s leading to Major/Strategic Public Buildings/Facilities-Construction of (Pugemilina Road), Brgy. Tagbac, Occidental Mindoro</t>
  </si>
  <si>
    <t>G (13) A 017683</t>
  </si>
  <si>
    <t>CAR MNDR 0007753</t>
  </si>
  <si>
    <t>23EB0085</t>
  </si>
  <si>
    <t>Construction of Multi-Purpose Building, Brgy. Maliig, Lubang, Occidental Mindoro</t>
  </si>
  <si>
    <t>G (13) A 0176586</t>
  </si>
  <si>
    <t>CAR MNDR 0007755</t>
  </si>
  <si>
    <t>SOUTHPEAK CONSTRUCTION</t>
  </si>
  <si>
    <t>23EB0051-R1</t>
  </si>
  <si>
    <t>Construction of Multi-Purpose Building, Barangay Ligaya, Sablayan, Occidental Mindoro</t>
  </si>
  <si>
    <t>G (13) A 001063209</t>
  </si>
  <si>
    <t>CAR 040606</t>
  </si>
  <si>
    <t>21EB0066</t>
  </si>
  <si>
    <t>Construction of Concrete Road-Access Road Leading to Sablayan Port, Sablayan, Occidental Mindoro</t>
  </si>
  <si>
    <t>G (42) 017786</t>
  </si>
  <si>
    <t>22EB0014</t>
  </si>
  <si>
    <t>Construction of Concrete Road-Jct MWCR (Labangan)-Murtha-Iriron Rd., Rizal Occidental Mindoro</t>
  </si>
  <si>
    <t>G (42)001051406</t>
  </si>
  <si>
    <t>M.C. MARTINEZ CONSTRUCTION</t>
  </si>
  <si>
    <t>23EB0075</t>
  </si>
  <si>
    <t>Construction of Solar Water System, Brgy. Ambulong, Municipality of San Jose, Occidental Mindoro</t>
  </si>
  <si>
    <t>G (40) 001034534</t>
  </si>
  <si>
    <t>G (13) A 001063221</t>
  </si>
  <si>
    <t>CAR 040615</t>
  </si>
  <si>
    <t>23EB0074</t>
  </si>
  <si>
    <t>Construction of Solar Water System, Brgy. Ilin (Iling Proper), Municipality of San Jose, Occidental Mindoro</t>
  </si>
  <si>
    <t>G (40) 001034533</t>
  </si>
  <si>
    <t>G (13) A 001063220</t>
  </si>
  <si>
    <t>CAR 040614</t>
  </si>
  <si>
    <t>G (42) 001051444</t>
  </si>
  <si>
    <t>Construction of Anahawin River Flood Control Structure, Barangay Iriron, Sta. 0 + 000 - Sta. 0 + 680, Calintaan, Occidental Mindoro.</t>
  </si>
  <si>
    <t>Construction of Level II Water System,Barangay Payompon, Mamburao, Occidental Mindoro</t>
  </si>
  <si>
    <t>G (42) 017813</t>
  </si>
  <si>
    <t>G (42) 017814</t>
  </si>
  <si>
    <t>Construction of Improvement of Access Roads Leading to Declared Tourism Destinations Wawa Fish Sanctuary and Beaches, Calintaan, Mindoro Occidental</t>
  </si>
  <si>
    <t>G (42) 017815</t>
  </si>
  <si>
    <t>21EB0163</t>
  </si>
  <si>
    <t>Off-Carriageway Improvement along Jct. MWCR (San Isidro)-Penal Colony-Jct. Yapang Rd.-K0310+547-K0312+149, Sablayan, Occidental Mindoro.</t>
  </si>
  <si>
    <t>G (42) 017819</t>
  </si>
  <si>
    <t>21EB0070</t>
  </si>
  <si>
    <t>Construction of Concrete Road-Access Road Leading to Wawa Fish Sanctuary and Beaches, Calintaan, Occidental Mindoro</t>
  </si>
  <si>
    <t>G (13) A 71178</t>
  </si>
  <si>
    <t>Concreting of Tanyag FMR, Brgy. Tanyag, Calintaan, Occidental Mindoro</t>
  </si>
  <si>
    <t>G (42) 41445</t>
  </si>
  <si>
    <t>Construction/ Improvement of Access Road leading to Declared Tourism Destinations,Luyang Baga Cave, Abra de Ilog, Occidental Mindoro</t>
  </si>
  <si>
    <t>G (41) 016069</t>
  </si>
  <si>
    <t>G (41) 016086</t>
  </si>
  <si>
    <t>23EB0096</t>
  </si>
  <si>
    <t>Repair/Maintenance of DPWH Building  Mindoro Occidental DEO, IBRD Building, Sablayan Field Office, Sablayan, Occidental Mindoro</t>
  </si>
  <si>
    <t xml:space="preserve"> G (13) A 71179</t>
  </si>
  <si>
    <t>CAR 1032661</t>
  </si>
  <si>
    <t>G (41) 016085</t>
  </si>
  <si>
    <t>G (41) D02 0007051</t>
  </si>
  <si>
    <t>G (42) D02 0017824</t>
  </si>
  <si>
    <t>G (41) D02 0007053</t>
  </si>
  <si>
    <t>G (41) D02 0007052</t>
  </si>
  <si>
    <t>G (41) D02 0007055</t>
  </si>
  <si>
    <t>G (42) 017828</t>
  </si>
  <si>
    <t>G (41) 016091</t>
  </si>
  <si>
    <t>G (41) 016092</t>
  </si>
  <si>
    <t>G (41) 33358</t>
  </si>
  <si>
    <t>G (41) 30192</t>
  </si>
  <si>
    <t>23EB0093</t>
  </si>
  <si>
    <t>Emergency Repair of Bridge Abutment "A" (Pasuigi Bridge), Sablayan, Occidental Mindoro</t>
  </si>
  <si>
    <t>G (41) 30193</t>
  </si>
  <si>
    <t>G (41) 30190</t>
  </si>
  <si>
    <t>BAO-IDANG CONSTRUCTION</t>
  </si>
  <si>
    <t>23EB0097</t>
  </si>
  <si>
    <t>Construction of 1STY2CL, Nayong Kalikasan ES, Calintaan, Occidental Mindoro</t>
  </si>
  <si>
    <t>G (13) A D02-0022135</t>
  </si>
  <si>
    <t>CAR MNDR 0007767</t>
  </si>
  <si>
    <t>23EB0080</t>
  </si>
  <si>
    <t>Construction of Road in Barangay Pinagtuliran to Barangay Dayap, Sta. Cruz, Occidental Mindoro</t>
  </si>
  <si>
    <t>G (42) 017829</t>
  </si>
  <si>
    <t>G (41) 001038605</t>
  </si>
  <si>
    <t>G (42) 001054107</t>
  </si>
  <si>
    <t>ALGIMAR CONSTRUCTION</t>
  </si>
  <si>
    <t>21EB0031</t>
  </si>
  <si>
    <t>Construction of Concrete Road- Bulalacao-San Jose-Jct Mapaya Road-Magsaysay, Occidental Mindoro</t>
  </si>
  <si>
    <t>G (41) 015049</t>
  </si>
  <si>
    <t>AGNES G. PALADIN</t>
  </si>
  <si>
    <t>AVP-Surety</t>
  </si>
  <si>
    <t>23EB0100</t>
  </si>
  <si>
    <t>Repair of Classroom 1STY2CL Bulacan ES, Looc, Occidental Mindoro</t>
  </si>
  <si>
    <t>G (40) 011669</t>
  </si>
  <si>
    <t>G (13) A 022136</t>
  </si>
  <si>
    <t>CAR MNDR 0007769</t>
  </si>
  <si>
    <t>23EB0101</t>
  </si>
  <si>
    <t>Repair of Classroom 1STY2CL Tabao ES (Ambil ES-Tabao Site), Looc, Occidental Mindoro</t>
  </si>
  <si>
    <t>CAR MNDR 0007768</t>
  </si>
  <si>
    <t>G (13) A 022135</t>
  </si>
  <si>
    <t>G (40) 011670</t>
  </si>
  <si>
    <t>G (40) 011666</t>
  </si>
  <si>
    <t>Construction of River Protection Structures along Calawagan River, Sta. 0+000 - Sta. 0+322, Sta. 0+492 - Sta. 772.00, Paluan, Occidental Mindoro</t>
  </si>
  <si>
    <t>G (42) 017836</t>
  </si>
  <si>
    <t>Construction of River Protection Structures along Katanlawan River, Sta. 0+000-Sta.0+840 (L/S), Sta. 0+ 200- Sta.0+360 (R/S) Paluan, Occidental Mindoro</t>
  </si>
  <si>
    <t>G (42) 017838</t>
  </si>
  <si>
    <t>G (42) 017837</t>
  </si>
  <si>
    <t>22EB0026</t>
  </si>
  <si>
    <t>Rehabilitation/Major Repair of Permanent Bridges-Ramayan Br.1 (B00164MR) along Crossing MWCR (Pola)- Casague-Jct. Alacaak Road</t>
  </si>
  <si>
    <t>G (41) 020072</t>
  </si>
  <si>
    <t>Construction of Busuanga Flood Control Structure (Sto. Niño) Rizal, Occidental Mindoro</t>
  </si>
  <si>
    <t>G (42) 46857</t>
  </si>
  <si>
    <t>22EB0046</t>
  </si>
  <si>
    <t xml:space="preserve">Construction of Barangay Alipaoy to Barangay Mananao Concrete Road, Paluan, Occidental Mindoro </t>
  </si>
  <si>
    <t>G (41)  30191</t>
  </si>
  <si>
    <t>G (42)  46860</t>
  </si>
  <si>
    <t>Construction of Busuanga Flood Control Structure (Adela Section) Rizal, Occidental Mindoro</t>
  </si>
  <si>
    <t>G (42)  46856</t>
  </si>
  <si>
    <t>G (42)  46859</t>
  </si>
  <si>
    <t>G (41) 020074</t>
  </si>
  <si>
    <t>Construction of Level III Water System, Brgy. Ipil, San Jose, Occidental Mindoro</t>
  </si>
  <si>
    <t>G (42) 017846</t>
  </si>
  <si>
    <t>G (41) 020085</t>
  </si>
  <si>
    <t>KEJAMARENIK CONSTRUCTION AND CONSTRUCTION SUPPLIES</t>
  </si>
  <si>
    <t>Construction of Multi-Purpose Building, Magsaysay, Occidental Mindoro</t>
  </si>
  <si>
    <t>G (42) 017824</t>
  </si>
  <si>
    <t>G (41) 020084</t>
  </si>
  <si>
    <t>JELSIE CONSTRUCTION &amp; SUPPLY</t>
  </si>
  <si>
    <t>Construction of Tanyag Flood Control Structure along Lumintao River, Brgy. Proper, Sta 0+000 - Sta 0+633, Calintaan, Occidental Mindoro</t>
  </si>
  <si>
    <t>G (41) 30198</t>
  </si>
  <si>
    <t>G (42) 46862</t>
  </si>
  <si>
    <t>22EB0040</t>
  </si>
  <si>
    <t>Construction of Concrete Road - Access Road Leading to Luyang Baga Cave, Abra de Ilog, Occidental Mindoro</t>
  </si>
  <si>
    <t>G (42) 46861</t>
  </si>
  <si>
    <t>G (41)020075</t>
  </si>
  <si>
    <t>G (41)020073</t>
  </si>
  <si>
    <t>Construction of Flood Control Structure Along Patrick River, Brgy. Paetan Section, Sta. 0+000 - Sta. 0+394, Sablayan, Occidental Mindoro</t>
  </si>
  <si>
    <t>G (41) 30195</t>
  </si>
  <si>
    <t>G (41) 30199</t>
  </si>
  <si>
    <t>G (41) 30196</t>
  </si>
  <si>
    <t>G (41) 30200</t>
  </si>
  <si>
    <t>23EB0094</t>
  </si>
  <si>
    <t>Repair/Installation of Road Safety Facilities along National Roads (Intermittent Sections) Mainland</t>
  </si>
  <si>
    <t>G (42) 46858</t>
  </si>
  <si>
    <t>Construction of Two (2) Storey Hostel Building DPWH Mindoro Occidental District Engineering Office, Mamburao, Occidental Mindoro</t>
  </si>
  <si>
    <t>G (41) A 030106</t>
  </si>
  <si>
    <t>AMM CONSTRUCTION &amp; COMSTRUCTION SUPPLIES</t>
  </si>
  <si>
    <t>Concreting of Barangay Tuban FMR, Brgy. Tuban, Sablayan, Occidental Mindoro</t>
  </si>
  <si>
    <t>G (42) 46865</t>
  </si>
  <si>
    <t>Construction of Flood Control Structure, Barangay Burol, Looc, Occidentalm Mindoro</t>
  </si>
  <si>
    <t>G (42) 46866</t>
  </si>
  <si>
    <t>G (42) 46864</t>
  </si>
  <si>
    <t>G (41) 30109</t>
  </si>
  <si>
    <t>G (42) 64858</t>
  </si>
  <si>
    <t>22EB0093</t>
  </si>
  <si>
    <t>Improvement of Road-JNR to Lourdes Provincial Road, Magsaysay, Occidental Mindoro</t>
  </si>
  <si>
    <t>G (42) 021112</t>
  </si>
  <si>
    <t>G (42) 021102</t>
  </si>
  <si>
    <t>G (42) 021111</t>
  </si>
  <si>
    <t>G (41) 30110</t>
  </si>
  <si>
    <t>Construction of Multi-Purpose Building, Barangay Guitna Looc, Occidental Mindoro</t>
  </si>
  <si>
    <t>G (41) 30107</t>
  </si>
  <si>
    <t>G (41) 30108</t>
  </si>
  <si>
    <t>23EB0095</t>
  </si>
  <si>
    <t xml:space="preserve">Repair/Maintenance of Talusungan River Reventment, Balao, Abra de Ilog, Occidental Mindoro </t>
  </si>
  <si>
    <t>G (41) 30103</t>
  </si>
  <si>
    <t>Construction of Evacuation Center (Phase I), Sitio Agsuli, Brgy. Sto Niño, Sablayan, Occidental Mindoro</t>
  </si>
  <si>
    <t>G (41) 30105</t>
  </si>
  <si>
    <t>G (41) 30102</t>
  </si>
  <si>
    <t>G (42) 46856</t>
  </si>
  <si>
    <t>23EB0091</t>
  </si>
  <si>
    <t xml:space="preserve">Emergency Repair/ Maintenance of Turawan Section (Slope Protection) K0339+720 </t>
  </si>
  <si>
    <t>G (41) 30101</t>
  </si>
  <si>
    <t>G (41) 30104</t>
  </si>
  <si>
    <t>9/1/205</t>
  </si>
  <si>
    <t>G (41) 001038620</t>
  </si>
  <si>
    <t>SILLIMAN AVENUE CONSTRUCTION AND SUPPLY</t>
  </si>
  <si>
    <t>22EB0073</t>
  </si>
  <si>
    <t>Construction of Hospital Building for COVID-19 Patient, Occidental Mindoro</t>
  </si>
  <si>
    <t>G (42) 021103</t>
  </si>
  <si>
    <t>G (42) 017826</t>
  </si>
  <si>
    <t>G (41) 020090</t>
  </si>
  <si>
    <t>Rehabilitation/Reconstruction/ Upgrading of Damaged Paved Roads- Secondary Roads- Mindoro West Coastal Rd. -K0432+264-K0433+646, Abra de Ilog, Occidental Mindoro</t>
  </si>
  <si>
    <t>FOR THE THIRD QUARTER OCTOBER - DE CEMBER 2023</t>
  </si>
  <si>
    <t>AVP Underwriting / R.I.</t>
  </si>
  <si>
    <t>Construction of Concrete Road-Bulalacao-San Jose-Jct. Mapaya Road, Occidental Mindoro</t>
  </si>
  <si>
    <t>WAY MAKER GENERAL CONTRACTOR OPC</t>
  </si>
  <si>
    <t>Construction of Road along Barangay Rumbang, Rizal, Occidental Mindoro</t>
  </si>
  <si>
    <t>HI-TONE CONSTRUCTION AND DEVELOPMENT CORPORATION</t>
  </si>
  <si>
    <t>Construction of Poblacion-Harrison Rd (Bignay-Binaybayan Section) Paluan, Occidental Mindoro</t>
  </si>
  <si>
    <t>G (42) 021135</t>
  </si>
  <si>
    <t>22EB0013</t>
  </si>
  <si>
    <t>Construction of Concrete Road Junction MWCR (Labangan Murtha) Jct. Iriron Road Poypoy Section Calintaan, Occidental Mindoro</t>
  </si>
  <si>
    <t>G (42) 021131</t>
  </si>
  <si>
    <t>G (42) 021133</t>
  </si>
  <si>
    <t>G (42) 021132</t>
  </si>
  <si>
    <t>22EB0074</t>
  </si>
  <si>
    <t>G (42) 021134</t>
  </si>
  <si>
    <t>G (41) 021693</t>
  </si>
  <si>
    <t>Construction of Road, So. Bagolayag-Brgy. Sta. Maria-Brgy. Mananao,Sta. 0+000- Sta. 1-589, Paluan, Occidental Mindoro</t>
  </si>
  <si>
    <t>G (42) 085531</t>
  </si>
  <si>
    <t>20EB0104</t>
  </si>
  <si>
    <t>G (41) 021690</t>
  </si>
  <si>
    <t>G (41) 021692</t>
  </si>
  <si>
    <t>G (41) 047851</t>
  </si>
  <si>
    <t>G (41) 046800</t>
  </si>
  <si>
    <t>23EB0079-R2</t>
  </si>
  <si>
    <t>Construction of Maduron Flood Control Structure, Paluan, Occidental Mindoro</t>
  </si>
  <si>
    <t>G (42) 46884</t>
  </si>
  <si>
    <t>Vice President</t>
  </si>
  <si>
    <t>GREAT PACIFIC BUILDERS AND GEN. CONTRACTOR INC.</t>
  </si>
  <si>
    <t>23EB0023</t>
  </si>
  <si>
    <t>Construction of Flood Control Structure along Patrick River, Claudio Salgado Section, Sta. 0+000-Sta.0+310 (357) Sablayan, Occidental Mindoro</t>
  </si>
  <si>
    <t>G (42) 46885</t>
  </si>
  <si>
    <t>22EB0011</t>
  </si>
  <si>
    <t>Construction of Concrete Road-Abra de Ilog Bypass Road, Abra de Ilog, Occidental Mindoro</t>
  </si>
  <si>
    <t>G (42) 021139</t>
  </si>
  <si>
    <t>G (41) 021704</t>
  </si>
  <si>
    <t>Concreting of Sitio Gregorio Ramos to Sitio Limlim, Brgy. Rizal FMR, Brgy Rizal, Rizal,Occidental Mindoro</t>
  </si>
  <si>
    <t>G (41) 021708</t>
  </si>
  <si>
    <t>G (42) 021140</t>
  </si>
  <si>
    <t>Repair of Classroom 1STYL2CL, Bulacan ES, Looc, Occidental Mindoro</t>
  </si>
  <si>
    <t>G (41) 021701</t>
  </si>
  <si>
    <t>Repair of Classroom 1STYL2CL,Tabao ES,(Ambil ES- Tabao Site) , Looc, Occidental Mindoro</t>
  </si>
  <si>
    <t>G (41) 021700</t>
  </si>
  <si>
    <t>GREAT PACIFIC BUILDERS AND GEN. CONTRACTOR INC./MICKU ROBIN CONSTRUCTION (JV)</t>
  </si>
  <si>
    <t>Construction of Tanyag Flood Control Structure along Lumintao River, Sitio Alipundo, Sta 0+000 - Sta 0+604, Calintaan, Occidental Mindoro</t>
  </si>
  <si>
    <t>G (41) 30125</t>
  </si>
  <si>
    <t>23EB0032</t>
  </si>
  <si>
    <t>Construction of Flood Control Structure along Amnay River, Claudio Salgado Section, Sta. 0 + 000 - Sta. 0 + 310, Sablayan, Occidental Mindoro.</t>
  </si>
  <si>
    <t>G (41) 001039702</t>
  </si>
  <si>
    <t>G (42)  085564</t>
  </si>
  <si>
    <t>G (42)  085563</t>
  </si>
  <si>
    <t>MC MARTINEZ CONSTRUCTION</t>
  </si>
  <si>
    <t xml:space="preserve"> Construction of Solar Water System Brgy. Ambulong, Municipality of San Jose, Occidental Mindoro</t>
  </si>
  <si>
    <t>G (41)  001039707</t>
  </si>
  <si>
    <t xml:space="preserve"> Construction of Solar Water System Brgy. Ilin (Iling Proper), Municipality of San Jose, Occidental Mindoro</t>
  </si>
  <si>
    <t>G (41)  001039706</t>
  </si>
  <si>
    <t>G (41) 048914</t>
  </si>
  <si>
    <t>F.A.TORRES CONSTRUCTION</t>
  </si>
  <si>
    <t>24EB0057</t>
  </si>
  <si>
    <t>Construction of Multi-Purpose Building, Brgy. San Francisco, Sablayan, Occidental Mindoro</t>
  </si>
  <si>
    <t>G (13) A 001063238</t>
  </si>
  <si>
    <t>CAR 040628</t>
  </si>
  <si>
    <t>24EB0028</t>
  </si>
  <si>
    <t>Widening of Permanent Bridges - Maculbo Br. (B00242MR) along Mindoro West Coastal Rd., Mamburao, Occidental Mindoro</t>
  </si>
  <si>
    <t>CAR 040630</t>
  </si>
  <si>
    <t>G (13) A 001063240</t>
  </si>
  <si>
    <t>24EB0052</t>
  </si>
  <si>
    <t>Construction of Multi-Purpose Building, Barangay Buenavista, Sablayan, Occidental Mindoro</t>
  </si>
  <si>
    <t>G (13) A 001063236</t>
  </si>
  <si>
    <t>CAR 040626</t>
  </si>
  <si>
    <t>Road Widening - Mindoro West Coastal Rd(S00095MR) K0381+234 - K0381+367, Sta. Cruz, Occidental Mindoro</t>
  </si>
  <si>
    <t>CAR 040625</t>
  </si>
  <si>
    <t>G (13) A 001063235</t>
  </si>
  <si>
    <t>24EB0018</t>
  </si>
  <si>
    <t>24EB0021</t>
  </si>
  <si>
    <t>Paving of Unpaved Roads - Crossing MWCR (Pola)-Casague-Jct. Alacaak Rd - (S00167MR) - K0385+(-320) - K0385+(-276), Sta Cruz, Occidental Mindoro</t>
  </si>
  <si>
    <t>CAR 040627</t>
  </si>
  <si>
    <t>G (13) A 001063237</t>
  </si>
  <si>
    <t>MMQ ENTERPRISES</t>
  </si>
  <si>
    <t>24EB0026</t>
  </si>
  <si>
    <t>Widening of Permanent Bridges - Baboy Br. (B00119MR) along Mindoro West Coastal Rd., Mamburao, Occidental Mindoro</t>
  </si>
  <si>
    <t>CAR 040629</t>
  </si>
  <si>
    <t>G (13) A 001063239</t>
  </si>
  <si>
    <t>24EB0051-R1</t>
  </si>
  <si>
    <t>Construction of Multi-purpose Building, Bonbon, Looc, Occidental Mindoro</t>
  </si>
  <si>
    <t>CAR 1032676</t>
  </si>
  <si>
    <t>G (13) A 74712</t>
  </si>
  <si>
    <t>24EB0022</t>
  </si>
  <si>
    <t>Paving of Unpaved Roads - Jct TLLR-Binacas Rd (S00012LB) - K0009 + 411 - K0009 + 625</t>
  </si>
  <si>
    <t>G (13) A 74708</t>
  </si>
  <si>
    <t>CAR 1032672</t>
  </si>
  <si>
    <t>24EB0054</t>
  </si>
  <si>
    <t>Construction of Multi-Purpose Building, Barangay Murtha, San Jose, Occidental Mindoro</t>
  </si>
  <si>
    <t>G (13) A 74706</t>
  </si>
  <si>
    <t>CAR 1032670</t>
  </si>
  <si>
    <t>24EB0050</t>
  </si>
  <si>
    <t>Construction of Multi-Purpose Building, Barangay Armado, Abra de Ilog, Occidental Mindoro</t>
  </si>
  <si>
    <t>G (13) A 74707</t>
  </si>
  <si>
    <t>24EB0044</t>
  </si>
  <si>
    <t>Construction of Road, So. Malatongtong, Barangay Burgos, Sablayan, Occidental Mindoro</t>
  </si>
  <si>
    <t>G (13) A 74710</t>
  </si>
  <si>
    <t>CAR 1032674</t>
  </si>
  <si>
    <t>Construction/Improvement of Access Roads Leading to Sablayan Port, Sablayan, Occidental Mindoro</t>
  </si>
  <si>
    <t>24EB0039</t>
  </si>
  <si>
    <t>G (13) A 74713</t>
  </si>
  <si>
    <t>CAR 1032677</t>
  </si>
  <si>
    <t>Rehabilitation / Major Repair of Permanent Bridges - Orobugan Br. 1 (B00161MR) along Crossing MWCR (Pola) - Casague - Jct Alacaak Rd</t>
  </si>
  <si>
    <t>24EB0025</t>
  </si>
  <si>
    <t>G (13) A 74702</t>
  </si>
  <si>
    <t>CAR 1032666</t>
  </si>
  <si>
    <t>24EB0037</t>
  </si>
  <si>
    <t>Construction of Mangarin Flood Control Structure, Barangay Mangarin, San Jose, Occidental Mindoro</t>
  </si>
  <si>
    <t>G (13) A 74709</t>
  </si>
  <si>
    <t>CAR 1032673</t>
  </si>
  <si>
    <t>Construction of Lusakan SIP Protection Work, Sta. Cruz, Occidental Mindoro</t>
  </si>
  <si>
    <t>24EB0036</t>
  </si>
  <si>
    <t>G (13) A 74704</t>
  </si>
  <si>
    <t>CAR 1032668</t>
  </si>
  <si>
    <t>24EB0035</t>
  </si>
  <si>
    <t>G (13) A 74703</t>
  </si>
  <si>
    <t>CAR 1032667</t>
  </si>
  <si>
    <t>Widening of Permanent Bridges - Palanghiran Br. (B00075MR) along Mindoro West Coastal Rd., San Jose, Occidental Mindoro</t>
  </si>
  <si>
    <t>JUNRAMS CONSTRUCTION AND CONSTRUCTION SUPPLIES</t>
  </si>
  <si>
    <t>G (13) A 74711</t>
  </si>
  <si>
    <t>24EB0027</t>
  </si>
  <si>
    <t>CAR 1032675</t>
  </si>
  <si>
    <t>24EB0017</t>
  </si>
  <si>
    <t>Road Widening -Mindoro West Coastal Rd (S00095MR) - K0269+500 - K0270+066, Calintaan, Occidental Mindoro</t>
  </si>
  <si>
    <t>G (13) A 74705</t>
  </si>
  <si>
    <t>CAR 1032669</t>
  </si>
  <si>
    <t>J H R ENTERPRISES/BERNARDO BUILDERS (JV)</t>
  </si>
  <si>
    <t>24EB0014</t>
  </si>
  <si>
    <t>Road Widening - Mindoro West Coastal Rd (S000095MR) - K0336+700 - K0338+007</t>
  </si>
  <si>
    <t>CAR 1032678</t>
  </si>
  <si>
    <t>G (13) A 74715</t>
  </si>
  <si>
    <t>Construction/Improvement of Access Road Leading to Wawa Fish Sanctuary and Beaches, Calintaan, Mindoro Occidental</t>
  </si>
  <si>
    <t>24EB0042</t>
  </si>
  <si>
    <t>CAR 09502</t>
  </si>
  <si>
    <t>STERLING INSURANCE COMPANY INCORPORATED</t>
  </si>
  <si>
    <t>LEOPOLDO E. MALAPITAN,JR.</t>
  </si>
  <si>
    <t>G (13) A 76727</t>
  </si>
  <si>
    <t>24EB0038</t>
  </si>
  <si>
    <t>Construction of Salagan Flood Control Structure, So. Proper Section, Barangay Casague, Santa Cruz, Occidental Mindoro</t>
  </si>
  <si>
    <t>G (13) A 76726</t>
  </si>
  <si>
    <t>CAR 53840</t>
  </si>
  <si>
    <t>R N V CONSTRUCTION</t>
  </si>
  <si>
    <t>24EB0015</t>
  </si>
  <si>
    <t>Road Widening - Mindoro Oriental/Occidental East Coastal Rd - K0217 + 259 - K0218 + 000</t>
  </si>
  <si>
    <t>CAR 040624</t>
  </si>
  <si>
    <t xml:space="preserve">G (13) A 001063234  </t>
  </si>
  <si>
    <t>F-NINE CONSTRUCTION</t>
  </si>
  <si>
    <t>24EB0012</t>
  </si>
  <si>
    <t>Road Widening - Mindoro West Coastal Rd (S000095MR) - K0408+800 - K0408+924, K0408+936 - K0409+000</t>
  </si>
  <si>
    <t xml:space="preserve">G (13) A 001063242  </t>
  </si>
  <si>
    <t>CAR 040631</t>
  </si>
  <si>
    <t>Construction of Solar Water System, Brgy. Ambulong, Municipality od San Jose, Occidental Mindoro</t>
  </si>
  <si>
    <t>G (42) 001055640</t>
  </si>
  <si>
    <t>Repair of Classroom 1STY2CL, Bulacan ES, Looc, Occidental Mindoro</t>
  </si>
  <si>
    <t>G (42) 021145</t>
  </si>
  <si>
    <t>Repair of Classroom 1STY2CL, Tabao ES (Ambil ES-Tabao Site), Looc, Occidental Mindoro</t>
  </si>
  <si>
    <t>G (42) 021144</t>
  </si>
  <si>
    <t>G (40) 31927</t>
  </si>
  <si>
    <t>ATTY. DAVE JOHN T. HERNANDEZ</t>
  </si>
  <si>
    <t xml:space="preserve">VP -Legal and Surety </t>
  </si>
  <si>
    <t>G (40) 001034568</t>
  </si>
  <si>
    <t>24EB0070</t>
  </si>
  <si>
    <t>Construction of Protection Dike along East Bank River, Barangay Tayamaan, Mamburao, Occidental Mindoro</t>
  </si>
  <si>
    <t>G (13) A 76730</t>
  </si>
  <si>
    <t>CAR 53841</t>
  </si>
  <si>
    <t>24EB0046</t>
  </si>
  <si>
    <t>Construction of Flood Mitigation Structure, Barangay 5, Mamburao, Occidental Mindoro</t>
  </si>
  <si>
    <t>G (13) A 76729</t>
  </si>
  <si>
    <t>G (13) A 022252</t>
  </si>
  <si>
    <t>CAR D02 0031018</t>
  </si>
  <si>
    <t>24EB0058</t>
  </si>
  <si>
    <t>Construction of Multi-Purpose Building, Barangay San Vicente, Abra De Ilog, Occidental Mindoro</t>
  </si>
  <si>
    <t>CAR D02 0031011</t>
  </si>
  <si>
    <t>G (13) A 022246</t>
  </si>
  <si>
    <t>24EB0010-R1</t>
  </si>
  <si>
    <t>Rehabilitation/Reconstruction of Roads with Slips, Slope Collapse, and Landslide - Mindoro West Coastal Rd (S00095MR) - K0409+435 - K409+580, Mamburao, Occidental Mindoro</t>
  </si>
  <si>
    <t>G (13) A 022245</t>
  </si>
  <si>
    <t>CAR D02 0031010</t>
  </si>
  <si>
    <t>Construction of Flood Control Structure along Amnay River,Guitong Section, Sta. 0+000 – Sta. 0+459, Sablayan, Occidental Mindoro</t>
  </si>
  <si>
    <t>G (41) 30134</t>
  </si>
  <si>
    <t>G (40) 42838</t>
  </si>
  <si>
    <t>G (40) 42839</t>
  </si>
  <si>
    <t>G (40) 42825</t>
  </si>
  <si>
    <t>G (40) 42836</t>
  </si>
  <si>
    <t>G (40) 42840</t>
  </si>
  <si>
    <t>G (40) 42824</t>
  </si>
  <si>
    <t>G (40) 42837</t>
  </si>
  <si>
    <t>G (40) 42841</t>
  </si>
  <si>
    <t>G (40) 42823</t>
  </si>
  <si>
    <t>G (40) 42818</t>
  </si>
  <si>
    <t>G (40) 001034571</t>
  </si>
  <si>
    <t>G (40) 001034575</t>
  </si>
  <si>
    <t>G (40) 001034572</t>
  </si>
  <si>
    <t>G (40) 001034573</t>
  </si>
  <si>
    <t>G (40) 001034570</t>
  </si>
  <si>
    <t>G (40) 001034574</t>
  </si>
  <si>
    <t>G (40) 001036626</t>
  </si>
  <si>
    <t>24EB0040</t>
  </si>
  <si>
    <t>Construction/Improvement of Access Roads Leading to Devil's Mountain and Farms, Brgy. Batasan, San Jose, Mindoro Occidental</t>
  </si>
  <si>
    <t>G (13) A 022249</t>
  </si>
  <si>
    <t>CAR D02 0031014</t>
  </si>
  <si>
    <t>JEENE-SON CONSTRUCTION</t>
  </si>
  <si>
    <t>Construction of Road, Barangay Batong Buhay, Sablayan, Occidental Mindoro</t>
  </si>
  <si>
    <t>24EB0043</t>
  </si>
  <si>
    <t>G (13) A 022248</t>
  </si>
  <si>
    <t>CAR D02 0031013</t>
  </si>
  <si>
    <t>24EB0002</t>
  </si>
  <si>
    <t>Rehabilitation/ Reconstruction/Upgrading of Damaged Paved Roads - Mindoro West Coastal Road (S00095MR) - K0428+000 - K0428+28, Abra de Ilog, Occidental Mindoro</t>
  </si>
  <si>
    <t>G (13) A 022244</t>
  </si>
  <si>
    <t>CAR D02 0031009</t>
  </si>
  <si>
    <t>24EB0041</t>
  </si>
  <si>
    <t>Construction/Improvement of Access Roads Leading to Luyang Baga Cave, Abra de Ilog, Occidental Mindoro</t>
  </si>
  <si>
    <t>G (13) A 022247</t>
  </si>
  <si>
    <t>CAR D02 0031012</t>
  </si>
  <si>
    <t>24EB0046-R1</t>
  </si>
  <si>
    <t>Construction of Flood Mitigation Structure, Barangay 7, Mamburao, Occidental Mindoro</t>
  </si>
  <si>
    <t>CAR 53842</t>
  </si>
  <si>
    <t>REBTRADE INTERNATIONAL CORPORATION</t>
  </si>
  <si>
    <t>23EB0105</t>
  </si>
  <si>
    <t>CAR 1032679</t>
  </si>
  <si>
    <t>G (13) A 74716</t>
  </si>
  <si>
    <t>23EB0106</t>
  </si>
  <si>
    <t>Rehabilitation/Reconstruction of Roads with Slips, Slope Collapse,and Landslide- Tertiarty Roads-Tagbac-Lubang-Looc-Rd-K0033+760-K0033+910, Looc, Occidental Mindoro</t>
  </si>
  <si>
    <t>Rehabilitation/Reconstruction of Roads with Slips, Slope Collapse,and Landslide- Tertiary Roads-Tagbac-Lubang-Looc-Rd-K0034+400-K0034+550, Looc, Occidental Mindoro</t>
  </si>
  <si>
    <t>CAR 1032690</t>
  </si>
  <si>
    <t>G (13) A 74717</t>
  </si>
  <si>
    <t>24EB0019</t>
  </si>
  <si>
    <t>Construction of Mnissing Links/New Roads-Bulalacao-San Jose-Jct. Mapaya Road, Occidental Mindoro</t>
  </si>
  <si>
    <t>CAR 1032687</t>
  </si>
  <si>
    <t xml:space="preserve">F.A. TORRES CONSTRUCTION </t>
  </si>
  <si>
    <t>G (13) A 74725</t>
  </si>
  <si>
    <t>24EB0074</t>
  </si>
  <si>
    <t>Construction of Flood Control Structure at Barangay Lagnas, Sablayan, Occidental Mindoro</t>
  </si>
  <si>
    <t>CAR 1032682</t>
  </si>
  <si>
    <t>G (13) A 74718</t>
  </si>
  <si>
    <t>24EB0011</t>
  </si>
  <si>
    <t>Rehabilitation/Reconstruction of Roads with Slips, Slope Collapse and Landslide-Mindoro West Coastal Rd. (S000095MR)- K0290+191,K0290+225,K0290+255-K0290+368, Sablayan, Occidental Mindoro</t>
  </si>
  <si>
    <t>CAR 1032685</t>
  </si>
  <si>
    <t>G (13) A 74722</t>
  </si>
  <si>
    <t>MIGHTY DRAGON BUILDERS, INC.</t>
  </si>
  <si>
    <t>24EB0081</t>
  </si>
  <si>
    <t>CAR 1032683</t>
  </si>
  <si>
    <t>G (13) A 74720</t>
  </si>
  <si>
    <t>24EB0082</t>
  </si>
  <si>
    <t>Improvement of Road, Barangay Purnaga, Magsaysay, Occidental Mindoro</t>
  </si>
  <si>
    <t>CAR 1032684</t>
  </si>
  <si>
    <t>G (13) A 74721</t>
  </si>
  <si>
    <t>24EB0013</t>
  </si>
  <si>
    <t>CAR 1032686</t>
  </si>
  <si>
    <t>Road Widening-Mindoro West Coastal Rd. (S00095MR)-K0369+407-K0371+125, Sta. Cruz, Occidental Mindoro</t>
  </si>
  <si>
    <t>ST. GERRARD CONSTRUCTION GEN. CONTRACTOR DEVELOPMENT CORP.</t>
  </si>
  <si>
    <t>24EB0032</t>
  </si>
  <si>
    <t>Construction of Protection Dike at Barangay 8, Mamburao, Occidental Mindoro</t>
  </si>
  <si>
    <t>CAR 1032688</t>
  </si>
  <si>
    <t>G (13) A 74726</t>
  </si>
  <si>
    <t>D.DOLOR CONSTRUCTION</t>
  </si>
  <si>
    <t>24EB0073</t>
  </si>
  <si>
    <t>Construction of Protection Dike at Barangay Barahan, Santa Cruz, Occidental Mindoro</t>
  </si>
  <si>
    <t>CAR 1032681</t>
  </si>
  <si>
    <t>G (13) A 74719</t>
  </si>
  <si>
    <t>G (40) 42847</t>
  </si>
  <si>
    <t>G (40) 42820</t>
  </si>
  <si>
    <t>Rehabilitation/Reconstruction of Roads with Slips, Slope Collapse,and Landslide- Tertiary Roads-Tagbac-Lubang-Looc-Rd-K0033+760-K0033+910, Looc, Occidental Mindoro</t>
  </si>
  <si>
    <t>G (40) 42826</t>
  </si>
  <si>
    <t>G (40) 42848</t>
  </si>
  <si>
    <t>G (40) 42845</t>
  </si>
  <si>
    <t>G (40) 42843</t>
  </si>
  <si>
    <t>G (40) 011815</t>
  </si>
  <si>
    <t>AVP-Bonds</t>
  </si>
  <si>
    <t>G (40) 011814</t>
  </si>
  <si>
    <t>G (40) 011816</t>
  </si>
  <si>
    <t>G (40) 011817</t>
  </si>
  <si>
    <t>G (40) 011806</t>
  </si>
  <si>
    <t>G (40) 011805</t>
  </si>
  <si>
    <t>24EB0005</t>
  </si>
  <si>
    <t>Rehabilitation/ Reconstruction/ Upgrading of Damaged Paved Roads - Tagbac-Lubang-Looc Rd (S00004LB) - K0013 + 000 - K0013 + 075, Lubang, Occidental Mindoro</t>
  </si>
  <si>
    <t>CAR MNDR 0007775</t>
  </si>
  <si>
    <t>G (13) A 022239</t>
  </si>
  <si>
    <t>24EB0062</t>
  </si>
  <si>
    <t>Construction of Flood Control Structure along Mamburao River, Cabacao Section, Abra de Ilog, Occidental Mindoro</t>
  </si>
  <si>
    <t>G (40) 011829</t>
  </si>
  <si>
    <t>CAR D02 0031017</t>
  </si>
  <si>
    <t>G (13) A 022251</t>
  </si>
  <si>
    <t>Rehabilitation/ Reconstruction/ Upgrading of Damaged Paved Roads - Jct TLLR-Binacas Rd (S00012LB) - K0005 + 185 - K0005 + 335, K0005 + 369 - K0005 + 526,Lubang, Occidental Mindoro</t>
  </si>
  <si>
    <t>24EB0009</t>
  </si>
  <si>
    <t>CAR MNDR 0007780</t>
  </si>
  <si>
    <t>G (13) A 022241</t>
  </si>
  <si>
    <t>Construction of Multi-Purpose Building, Barangay Malawaan, Rizal, Occidental Mindoro</t>
  </si>
  <si>
    <t>24EB0053</t>
  </si>
  <si>
    <t>CAR D02 0031015</t>
  </si>
  <si>
    <t>G (13) A 022250</t>
  </si>
  <si>
    <t>24EB0003</t>
  </si>
  <si>
    <t>Rehabilitation/ Reconstruction/ Upgrading of Damaged Paved Roads - Mindoro West Coastal Rd (S000095MR) - K0273+150 - K0273+204, Calintaan, Occidental Mindoro</t>
  </si>
  <si>
    <t>G (13) A 022240</t>
  </si>
  <si>
    <t>24EB0004</t>
  </si>
  <si>
    <t>Rehabilitation/ Reconstruction/ Upgrading of Damaged Paved Roads - Tagbac-Lubang-Looc Rd (S00004LB) - K0006 + 279 - K0007 + 000, Lubang, Occidental Mindoro</t>
  </si>
  <si>
    <t>CAR D02 0031006</t>
  </si>
  <si>
    <t>24EB0006</t>
  </si>
  <si>
    <t>Rehabilitation/ Reconstruction/ Upgrading of Damaged Paved Roads - Tagbac-Lubang-Looc Rd (S00004LB) - K0008 + 403 - K0008 + 914 Lubang, Occidemtal Mindoro</t>
  </si>
  <si>
    <t>CAR D02 0031005</t>
  </si>
  <si>
    <t>G (13) A 022235</t>
  </si>
  <si>
    <t>24EB0060</t>
  </si>
  <si>
    <t>Construction of Multi-Purpose Building, Tilik National High School, Barangay Tilik, Lubang, Occidental Mindoro</t>
  </si>
  <si>
    <t>CAR MNDR 0031002</t>
  </si>
  <si>
    <t>G (13) A 022232</t>
  </si>
  <si>
    <t>24EB0023</t>
  </si>
  <si>
    <t>Paving of Unpaved Roads - Jct Lubang-Binakas-Barac Rd (S00013LB) - K0008 + 770 - K0008 + 815, Lubang, Occidental Mindoro</t>
  </si>
  <si>
    <t>CAR MNDR 0031003</t>
  </si>
  <si>
    <t>G (13) A 022233</t>
  </si>
  <si>
    <t>24EB0020</t>
  </si>
  <si>
    <t>CAR MNDR 0031004</t>
  </si>
  <si>
    <t>Off-Carriageway Improvement - Jct TLLR-Binacas Rd (S00012LB) - K0007 + 412 - K0007 + 593, Lubang Occidental Mindoro</t>
  </si>
  <si>
    <t>G (13) A 022234</t>
  </si>
  <si>
    <t>24EB0016</t>
  </si>
  <si>
    <t>Road Widening - Mindoro Oriental/Occidental East Coastal Road (S00094MR) - K0220 + 428 - K0220 + 822, Magsaysay, Occidental Mindoro</t>
  </si>
  <si>
    <t>CAR MNDR 0031008</t>
  </si>
  <si>
    <t>G (13) A 022242</t>
  </si>
  <si>
    <t>24EB0024</t>
  </si>
  <si>
    <t>Retrofitting/ Strengthening of Permanent Bridges- Pasugui Br. (B00091MR) along Mindoro West Coastal Rd, Sablayan, Occidental Mindoro</t>
  </si>
  <si>
    <t>CAR MNDR 0031007</t>
  </si>
  <si>
    <t>G (13) A 022243</t>
  </si>
  <si>
    <t>24EB0059</t>
  </si>
  <si>
    <t>Construction of Multi-Purpose Building, So. Kusang Loob, Barangay Tagbac, Lubang, Occidental Mindoro</t>
  </si>
  <si>
    <t>CAR MNDR 0031001</t>
  </si>
  <si>
    <t>G (13) A 022231</t>
  </si>
  <si>
    <t>24EB0008</t>
  </si>
  <si>
    <t>Rehabilitation/ Reconstruction/ Upgrading of Damaged Paved Roads - Tagbac-Lubang-Looc Rd (S00004LB) - K0038 + 752 - K0039 + 040, Looc Occidental Mindoro</t>
  </si>
  <si>
    <t>CAR MNDR 0007782</t>
  </si>
  <si>
    <t>G (13) A 022237</t>
  </si>
  <si>
    <t>24EB0007</t>
  </si>
  <si>
    <t>Rehabilitation/ Reconstruction/ Upgrading of Damaged Paved Roads - Tagbac-Lubang-Looc Rd (S00004LB) - K0013 + 421 - K0013 + 601,Lubang, Occidental Mindoro</t>
  </si>
  <si>
    <t>CAR MNDR 0007781</t>
  </si>
  <si>
    <t>G (13) A 022238</t>
  </si>
  <si>
    <t>G (40) 011802</t>
  </si>
  <si>
    <t>G (40) 011818</t>
  </si>
  <si>
    <t>G (40) 011824</t>
  </si>
  <si>
    <t>G (40) 011813</t>
  </si>
  <si>
    <t>G (40) 011812</t>
  </si>
  <si>
    <t>G (40) 011811</t>
  </si>
  <si>
    <t>G (40) 011809</t>
  </si>
  <si>
    <t>G (40) 011807</t>
  </si>
  <si>
    <t>G (40) 011808</t>
  </si>
  <si>
    <t>G (40) 011819</t>
  </si>
  <si>
    <t>G (40) 011820</t>
  </si>
  <si>
    <t>G (40) 011821</t>
  </si>
  <si>
    <t>G (40) 011803</t>
  </si>
  <si>
    <t xml:space="preserve">SIXTEEN ENTERPRISES </t>
  </si>
  <si>
    <t>24EB0064</t>
  </si>
  <si>
    <t>Construction of Flood Control Structures along Mamara River, Bagong Silang Section, Abra de Ilog, Occidental Mindoro</t>
  </si>
  <si>
    <t>G (40) 001036628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</si>
</sst>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dd\-mmm\-yy;@"/>
    <numFmt numFmtId="165" formatCode="mmmm\ d\,\ yyyy"/>
    <numFmt numFmtId="166" formatCode="&quot;12EB&quot;000#"/>
    <numFmt numFmtId="167" formatCode="&quot;13EB&quot;000#"/>
    <numFmt numFmtId="168" formatCode="00000"/>
  </numFmts>
  <fonts count="41">
    <font>
      <sz val="11"/>
      <color theme="1"/>
      <name val="Calibri"/>
      <family val="2"/>
      <scheme val="minor"/>
    </font>
    <font>
      <sz val="11"/>
      <color theme="1"/>
      <name val="Calibri"/>
      <family val="2"/>
      <scheme val="minor"/>
    </font>
    <font>
      <sz val="11"/>
      <color rgb="FFFF0000"/>
      <name val="Calibri"/>
      <family val="2"/>
      <scheme val="minor"/>
    </font>
    <font>
      <sz val="10"/>
      <name val="Arial"/>
      <family val="2"/>
    </font>
    <font>
      <sz val="11"/>
      <name val="Tahoma"/>
      <family val="2"/>
    </font>
    <font>
      <b/>
      <sz val="11"/>
      <name val="Tahoma"/>
      <family val="2"/>
    </font>
    <font>
      <i/>
      <sz val="11"/>
      <name val="Tahoma"/>
      <family val="2"/>
    </font>
    <font>
      <b/>
      <sz val="12"/>
      <name val="Tahoma"/>
      <family val="2"/>
    </font>
    <font>
      <sz val="9"/>
      <name val="Tahoma"/>
      <family val="2"/>
    </font>
    <font>
      <sz val="10"/>
      <name val="Tahoma"/>
      <family val="2"/>
    </font>
    <font>
      <b/>
      <sz val="12"/>
      <color theme="1"/>
      <name val="Tahoma"/>
      <family val="2"/>
    </font>
    <font>
      <sz val="12"/>
      <color theme="1"/>
      <name val="Tahoma"/>
      <family val="2"/>
    </font>
    <font>
      <sz val="12"/>
      <name val="Tahoma"/>
      <family val="2"/>
    </font>
    <font>
      <sz val="26"/>
      <name val="Tahoma"/>
      <family val="2"/>
    </font>
    <font>
      <b/>
      <sz val="26"/>
      <name val="Tahoma"/>
      <family val="2"/>
    </font>
    <font>
      <b/>
      <sz val="14"/>
      <name val="Tahoma"/>
      <family val="2"/>
    </font>
    <font>
      <sz val="14"/>
      <name val="Tahoma"/>
      <family val="2"/>
    </font>
    <font>
      <sz val="18"/>
      <color theme="1"/>
      <name val="Calibri"/>
      <family val="2"/>
      <scheme val="minor"/>
    </font>
    <font>
      <sz val="18"/>
      <name val="Calibri"/>
      <family val="2"/>
      <scheme val="minor"/>
    </font>
    <font>
      <sz val="18"/>
      <name val="Tahoma"/>
      <family val="2"/>
    </font>
    <font>
      <sz val="11"/>
      <name val="Calibri"/>
      <family val="2"/>
      <scheme val="minor"/>
    </font>
    <font>
      <sz val="20"/>
      <name val="Calibri"/>
      <family val="2"/>
      <scheme val="minor"/>
    </font>
    <font>
      <sz val="20"/>
      <name val="Tahoma"/>
      <family val="2"/>
    </font>
    <font>
      <sz val="24"/>
      <name val="Calibri"/>
      <family val="2"/>
      <scheme val="minor"/>
    </font>
    <font>
      <b/>
      <u/>
      <sz val="28"/>
      <name val="Tahoma"/>
      <family val="2"/>
    </font>
    <font>
      <sz val="28"/>
      <name val="Tahoma"/>
      <family val="2"/>
    </font>
    <font>
      <sz val="26"/>
      <color rgb="FFFF0000"/>
      <name val="Tahoma"/>
      <family val="2"/>
    </font>
    <font>
      <b/>
      <sz val="11"/>
      <color rgb="FFFF0000"/>
      <name val="Tahoma"/>
      <family val="2"/>
    </font>
    <font>
      <sz val="18"/>
      <color rgb="FFFF0000"/>
      <name val="Calibri"/>
      <family val="2"/>
      <scheme val="minor"/>
    </font>
    <font>
      <i/>
      <sz val="12"/>
      <name val="Tahoma"/>
      <family val="2"/>
    </font>
    <font>
      <sz val="11"/>
      <color theme="1"/>
      <name val="Tahoma"/>
      <family val="2"/>
    </font>
    <font>
      <sz val="11"/>
      <color rgb="FFB2B2B2"/>
      <name val="Tahoma"/>
      <family val="2"/>
    </font>
    <font>
      <b/>
      <sz val="16"/>
      <color theme="1"/>
      <name val="Calibri"/>
      <family val="2"/>
      <scheme val="minor"/>
    </font>
    <font>
      <sz val="26"/>
      <color theme="1"/>
      <name val="Tahoma"/>
      <family val="2"/>
    </font>
    <font>
      <b/>
      <sz val="14"/>
      <color theme="1"/>
      <name val="Tahoma"/>
      <family val="2"/>
    </font>
    <font>
      <sz val="20"/>
      <color theme="1"/>
      <name val="Calibri"/>
      <family val="2"/>
      <scheme val="minor"/>
    </font>
    <font>
      <sz val="11"/>
      <color rgb="FFFF0000"/>
      <name val="Tahoma"/>
      <family val="2"/>
    </font>
    <font>
      <b/>
      <sz val="20"/>
      <name val="Times New Roman"/>
      <family val="1"/>
    </font>
    <font>
      <sz val="16"/>
      <name val="Calibri"/>
      <family val="2"/>
      <scheme val="minor"/>
    </font>
    <font>
      <sz val="11"/>
      <color rgb="FF000000"/>
      <name val="Arial1"/>
    </font>
    <font>
      <sz val="18"/>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ck">
        <color indexed="64"/>
      </right>
      <top style="medium">
        <color indexed="64"/>
      </top>
      <bottom style="medium">
        <color indexed="64"/>
      </bottom>
      <diagonal/>
    </border>
    <border>
      <left style="thick">
        <color indexed="64"/>
      </left>
      <right style="thick">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
    <xf numFmtId="0" fontId="0" fillId="0" borderId="0"/>
    <xf numFmtId="164" fontId="3" fillId="0" borderId="0"/>
    <xf numFmtId="43" fontId="1" fillId="0" borderId="0" applyFont="0" applyFill="0" applyBorder="0" applyAlignment="0" applyProtection="0"/>
    <xf numFmtId="0" fontId="39" fillId="0" borderId="0"/>
  </cellStyleXfs>
  <cellXfs count="227">
    <xf numFmtId="0" fontId="0" fillId="0" borderId="0" xfId="0"/>
    <xf numFmtId="164" fontId="4" fillId="0" borderId="0" xfId="1" applyFont="1"/>
    <xf numFmtId="164" fontId="4" fillId="0" borderId="0" xfId="1" applyFont="1" applyBorder="1"/>
    <xf numFmtId="165" fontId="4" fillId="0" borderId="0" xfId="1" applyNumberFormat="1" applyFont="1" applyBorder="1" applyAlignment="1"/>
    <xf numFmtId="164" fontId="4" fillId="0" borderId="0" xfId="1" applyFont="1" applyBorder="1" applyAlignment="1">
      <alignment horizontal="left"/>
    </xf>
    <xf numFmtId="164" fontId="6" fillId="0" borderId="0" xfId="1" applyFont="1" applyAlignment="1">
      <alignment vertical="center"/>
    </xf>
    <xf numFmtId="165" fontId="4" fillId="0" borderId="0" xfId="1" applyNumberFormat="1" applyFont="1" applyBorder="1" applyAlignment="1">
      <alignment vertical="center"/>
    </xf>
    <xf numFmtId="164" fontId="4" fillId="0" borderId="0" xfId="1" applyFont="1" applyBorder="1" applyAlignment="1">
      <alignment horizontal="center"/>
    </xf>
    <xf numFmtId="164" fontId="4" fillId="0" borderId="0" xfId="1" applyFont="1" applyBorder="1" applyAlignment="1">
      <alignment wrapText="1"/>
    </xf>
    <xf numFmtId="164" fontId="4" fillId="0" borderId="0" xfId="1" applyFont="1" applyAlignment="1">
      <alignment vertical="center"/>
    </xf>
    <xf numFmtId="49" fontId="4" fillId="0" borderId="0" xfId="1" applyNumberFormat="1" applyFont="1" applyAlignment="1">
      <alignment horizontal="center"/>
    </xf>
    <xf numFmtId="49" fontId="4" fillId="0" borderId="0" xfId="1" applyNumberFormat="1" applyFont="1" applyBorder="1"/>
    <xf numFmtId="164" fontId="4" fillId="0" borderId="0" xfId="1" applyFont="1" applyBorder="1" applyAlignment="1"/>
    <xf numFmtId="164" fontId="4" fillId="0" borderId="0" xfId="1" applyFont="1" applyBorder="1" applyAlignment="1">
      <alignment horizontal="center" vertical="center"/>
    </xf>
    <xf numFmtId="164" fontId="4" fillId="0" borderId="0" xfId="1" applyFont="1" applyBorder="1" applyAlignment="1">
      <alignment horizontal="center"/>
    </xf>
    <xf numFmtId="0" fontId="10" fillId="0" borderId="0" xfId="0" applyFont="1" applyAlignment="1">
      <alignment vertical="top" wrapText="1"/>
    </xf>
    <xf numFmtId="164" fontId="4" fillId="0" borderId="0" xfId="1" applyFont="1" applyAlignment="1">
      <alignment vertical="top" wrapText="1"/>
    </xf>
    <xf numFmtId="164" fontId="12" fillId="0" borderId="0" xfId="1" applyFont="1" applyBorder="1" applyAlignment="1">
      <alignment vertical="center" wrapText="1"/>
    </xf>
    <xf numFmtId="0" fontId="4" fillId="0" borderId="0" xfId="0" applyFont="1" applyFill="1"/>
    <xf numFmtId="0" fontId="5" fillId="0" borderId="0" xfId="0" applyFont="1" applyFill="1" applyAlignment="1">
      <alignment vertical="center"/>
    </xf>
    <xf numFmtId="0" fontId="4" fillId="0" borderId="0" xfId="0" applyFont="1" applyFill="1" applyAlignment="1">
      <alignment vertical="center"/>
    </xf>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4" fillId="0" borderId="0" xfId="0" applyFont="1" applyFill="1" applyAlignment="1">
      <alignment horizontal="center" vertical="center"/>
    </xf>
    <xf numFmtId="0" fontId="15" fillId="0" borderId="0" xfId="0" applyFont="1" applyFill="1" applyAlignment="1">
      <alignment vertical="center"/>
    </xf>
    <xf numFmtId="0" fontId="16" fillId="0" borderId="0" xfId="0" applyFont="1" applyFill="1"/>
    <xf numFmtId="0" fontId="5" fillId="0" borderId="0" xfId="0" applyFont="1" applyFill="1" applyBorder="1" applyAlignment="1">
      <alignment horizontal="center" vertical="center"/>
    </xf>
    <xf numFmtId="0" fontId="5" fillId="0" borderId="0" xfId="0" applyFont="1" applyFill="1" applyAlignment="1">
      <alignment horizontal="center" vertical="center"/>
    </xf>
    <xf numFmtId="0" fontId="0" fillId="2" borderId="0" xfId="0" applyFill="1"/>
    <xf numFmtId="0" fontId="0" fillId="2" borderId="0" xfId="0" applyFill="1" applyAlignment="1">
      <alignment horizontal="center"/>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43" fontId="15" fillId="2" borderId="2" xfId="0" applyNumberFormat="1" applyFont="1" applyFill="1" applyBorder="1" applyAlignment="1">
      <alignment horizontal="center" vertical="center" wrapText="1"/>
    </xf>
    <xf numFmtId="0" fontId="15" fillId="2" borderId="6" xfId="0" applyFont="1" applyFill="1" applyBorder="1" applyAlignment="1">
      <alignment horizontal="center" vertical="center" wrapText="1"/>
    </xf>
    <xf numFmtId="0" fontId="12" fillId="0" borderId="0" xfId="0" applyFont="1" applyFill="1" applyAlignment="1">
      <alignment wrapText="1"/>
    </xf>
    <xf numFmtId="0" fontId="18" fillId="2" borderId="1" xfId="0" applyFont="1" applyFill="1" applyBorder="1" applyAlignment="1">
      <alignment horizontal="center" vertical="center" wrapText="1"/>
    </xf>
    <xf numFmtId="167" fontId="19" fillId="2" borderId="7" xfId="0" quotePrefix="1" applyNumberFormat="1" applyFont="1" applyFill="1" applyBorder="1" applyAlignment="1">
      <alignment horizontal="center" vertical="center" wrapText="1"/>
    </xf>
    <xf numFmtId="0" fontId="18" fillId="2" borderId="8" xfId="0" quotePrefix="1" applyFont="1" applyFill="1" applyBorder="1" applyAlignment="1">
      <alignment vertical="center" wrapText="1"/>
    </xf>
    <xf numFmtId="43" fontId="18" fillId="2" borderId="1" xfId="2" applyFont="1" applyFill="1" applyBorder="1" applyAlignment="1">
      <alignment horizontal="center" vertical="center" wrapText="1"/>
    </xf>
    <xf numFmtId="14" fontId="18" fillId="2" borderId="1" xfId="0" applyNumberFormat="1" applyFont="1" applyFill="1" applyBorder="1" applyAlignment="1">
      <alignment horizontal="center" vertical="center"/>
    </xf>
    <xf numFmtId="49" fontId="18" fillId="2" borderId="1" xfId="0" applyNumberFormat="1" applyFont="1" applyFill="1" applyBorder="1" applyAlignment="1">
      <alignment horizontal="center" vertical="center"/>
    </xf>
    <xf numFmtId="166" fontId="19" fillId="2" borderId="1" xfId="0" applyNumberFormat="1" applyFont="1" applyFill="1" applyBorder="1" applyAlignment="1">
      <alignment horizontal="center" vertical="center" wrapText="1"/>
    </xf>
    <xf numFmtId="14" fontId="18" fillId="2" borderId="1" xfId="0" applyNumberFormat="1" applyFont="1" applyFill="1" applyBorder="1" applyAlignment="1">
      <alignment horizontal="center" vertical="center" wrapText="1"/>
    </xf>
    <xf numFmtId="0" fontId="20" fillId="2" borderId="0" xfId="0" applyFont="1" applyFill="1"/>
    <xf numFmtId="0" fontId="21" fillId="2" borderId="0" xfId="0" applyFont="1" applyFill="1" applyBorder="1" applyAlignment="1">
      <alignment horizontal="center" vertical="center" wrapText="1"/>
    </xf>
    <xf numFmtId="167" fontId="22" fillId="2" borderId="0" xfId="0" quotePrefix="1" applyNumberFormat="1" applyFont="1" applyFill="1" applyBorder="1" applyAlignment="1">
      <alignment horizontal="center" vertical="center" wrapText="1"/>
    </xf>
    <xf numFmtId="0" fontId="23" fillId="2" borderId="0" xfId="0" quotePrefix="1" applyFont="1" applyFill="1" applyBorder="1" applyAlignment="1">
      <alignment vertical="center" wrapText="1"/>
    </xf>
    <xf numFmtId="43" fontId="21" fillId="2" borderId="0" xfId="2" applyFont="1" applyFill="1" applyBorder="1" applyAlignment="1">
      <alignment horizontal="center" vertical="center" wrapText="1"/>
    </xf>
    <xf numFmtId="14" fontId="21" fillId="2" borderId="0" xfId="0" applyNumberFormat="1" applyFont="1" applyFill="1" applyBorder="1" applyAlignment="1">
      <alignment horizontal="center" vertical="center"/>
    </xf>
    <xf numFmtId="49" fontId="21" fillId="2" borderId="0" xfId="0" applyNumberFormat="1" applyFont="1" applyFill="1" applyBorder="1" applyAlignment="1">
      <alignment horizontal="center" vertical="center"/>
    </xf>
    <xf numFmtId="166" fontId="22" fillId="2" borderId="0" xfId="0" applyNumberFormat="1" applyFont="1" applyFill="1" applyBorder="1" applyAlignment="1">
      <alignment horizontal="center" vertical="center" wrapText="1"/>
    </xf>
    <xf numFmtId="0" fontId="4" fillId="0" borderId="0" xfId="0" applyFont="1" applyBorder="1" applyAlignment="1">
      <alignment vertical="center"/>
    </xf>
    <xf numFmtId="0" fontId="14" fillId="0" borderId="0" xfId="0" applyFont="1" applyBorder="1" applyAlignment="1">
      <alignment vertical="center"/>
    </xf>
    <xf numFmtId="0" fontId="4" fillId="0" borderId="0" xfId="0" applyFont="1"/>
    <xf numFmtId="0" fontId="24" fillId="0" borderId="0" xfId="0" applyFont="1" applyBorder="1" applyAlignment="1">
      <alignment horizontal="center" vertical="center"/>
    </xf>
    <xf numFmtId="0" fontId="25" fillId="0" borderId="0" xfId="0" applyFont="1" applyBorder="1" applyAlignment="1">
      <alignment vertical="center"/>
    </xf>
    <xf numFmtId="0" fontId="25" fillId="0" borderId="0" xfId="0" applyFont="1" applyBorder="1" applyAlignment="1">
      <alignment horizontal="center" vertical="center"/>
    </xf>
    <xf numFmtId="0" fontId="2" fillId="2" borderId="0" xfId="0" applyFont="1" applyFill="1"/>
    <xf numFmtId="0" fontId="26" fillId="2" borderId="0" xfId="0" applyFont="1" applyFill="1" applyAlignment="1">
      <alignment horizontal="center" vertical="center"/>
    </xf>
    <xf numFmtId="0" fontId="27" fillId="2" borderId="0" xfId="0" applyFont="1" applyFill="1" applyAlignment="1">
      <alignment horizontal="center" vertical="center"/>
    </xf>
    <xf numFmtId="0" fontId="13" fillId="0" borderId="0" xfId="0" applyFont="1" applyFill="1" applyAlignment="1">
      <alignment vertical="center"/>
    </xf>
    <xf numFmtId="0" fontId="15" fillId="2" borderId="7" xfId="0" applyFont="1" applyFill="1" applyBorder="1" applyAlignment="1">
      <alignment horizontal="center" vertical="center" wrapText="1"/>
    </xf>
    <xf numFmtId="164" fontId="12" fillId="0" borderId="0" xfId="1" applyFont="1" applyAlignment="1">
      <alignment vertical="top"/>
    </xf>
    <xf numFmtId="164" fontId="12" fillId="0" borderId="0" xfId="1" applyFont="1" applyBorder="1" applyAlignment="1"/>
    <xf numFmtId="164" fontId="7" fillId="0" borderId="0" xfId="1" applyFont="1" applyAlignment="1">
      <alignment vertical="top"/>
    </xf>
    <xf numFmtId="164" fontId="12" fillId="0" borderId="0" xfId="1" applyFont="1" applyBorder="1" applyAlignment="1">
      <alignment horizontal="center"/>
    </xf>
    <xf numFmtId="164" fontId="12" fillId="0" borderId="0" xfId="1" applyFont="1" applyAlignment="1">
      <alignment vertical="center"/>
    </xf>
    <xf numFmtId="164" fontId="12" fillId="0" borderId="0" xfId="1" applyFont="1" applyBorder="1"/>
    <xf numFmtId="165" fontId="12" fillId="0" borderId="0" xfId="1" applyNumberFormat="1" applyFont="1" applyBorder="1" applyAlignment="1"/>
    <xf numFmtId="49" fontId="12" fillId="0" borderId="0" xfId="1" applyNumberFormat="1" applyFont="1" applyAlignment="1">
      <alignment horizontal="center"/>
    </xf>
    <xf numFmtId="164" fontId="12" fillId="0" borderId="0" xfId="1" applyFont="1" applyBorder="1" applyAlignment="1">
      <alignment wrapText="1"/>
    </xf>
    <xf numFmtId="165" fontId="12" fillId="0" borderId="0" xfId="1" applyNumberFormat="1" applyFont="1" applyBorder="1" applyAlignment="1">
      <alignment vertical="center"/>
    </xf>
    <xf numFmtId="164" fontId="12" fillId="0" borderId="0" xfId="1" applyFont="1" applyBorder="1" applyAlignment="1">
      <alignment vertical="center"/>
    </xf>
    <xf numFmtId="164" fontId="12" fillId="0" borderId="0" xfId="1" applyFont="1" applyBorder="1" applyAlignment="1">
      <alignment horizontal="left"/>
    </xf>
    <xf numFmtId="164" fontId="29" fillId="0" borderId="0" xfId="1" applyFont="1" applyAlignment="1">
      <alignment vertical="center"/>
    </xf>
    <xf numFmtId="164" fontId="12" fillId="0" borderId="0" xfId="1" applyFont="1"/>
    <xf numFmtId="49" fontId="7" fillId="0" borderId="0" xfId="1" applyNumberFormat="1" applyFont="1" applyAlignment="1"/>
    <xf numFmtId="164" fontId="12" fillId="0" borderId="0" xfId="1" applyFont="1" applyBorder="1" applyAlignment="1">
      <alignment horizontal="left" vertical="center"/>
    </xf>
    <xf numFmtId="49" fontId="12" fillId="0" borderId="0" xfId="1" applyNumberFormat="1" applyFont="1" applyBorder="1" applyAlignment="1"/>
    <xf numFmtId="14" fontId="4" fillId="0" borderId="0" xfId="1" applyNumberFormat="1" applyFont="1" applyBorder="1" applyAlignment="1"/>
    <xf numFmtId="0" fontId="33" fillId="2" borderId="0" xfId="0" applyFont="1" applyFill="1" applyAlignment="1">
      <alignment horizontal="center" vertical="center"/>
    </xf>
    <xf numFmtId="0" fontId="33" fillId="2" borderId="0" xfId="0" applyFont="1" applyFill="1" applyAlignment="1">
      <alignment vertical="center"/>
    </xf>
    <xf numFmtId="0" fontId="34" fillId="2" borderId="2" xfId="0" applyFont="1" applyFill="1" applyBorder="1" applyAlignment="1">
      <alignment horizontal="center" vertical="center" wrapText="1"/>
    </xf>
    <xf numFmtId="0" fontId="17" fillId="2" borderId="1" xfId="0" applyFont="1" applyFill="1" applyBorder="1" applyAlignment="1">
      <alignment horizontal="center" vertical="center"/>
    </xf>
    <xf numFmtId="14" fontId="35" fillId="2" borderId="0" xfId="0" applyNumberFormat="1" applyFont="1" applyFill="1" applyBorder="1" applyAlignment="1">
      <alignment horizontal="center" vertical="center"/>
    </xf>
    <xf numFmtId="0" fontId="35" fillId="2" borderId="0" xfId="0" applyFont="1" applyFill="1" applyBorder="1" applyAlignment="1">
      <alignment horizontal="center" vertical="center"/>
    </xf>
    <xf numFmtId="0" fontId="30" fillId="2" borderId="0" xfId="0" applyFont="1" applyFill="1" applyBorder="1" applyAlignment="1">
      <alignment vertical="center"/>
    </xf>
    <xf numFmtId="0" fontId="0" fillId="2" borderId="0" xfId="0" applyFont="1" applyFill="1"/>
    <xf numFmtId="14" fontId="33" fillId="2" borderId="0" xfId="0" applyNumberFormat="1" applyFont="1" applyFill="1" applyAlignment="1">
      <alignment horizontal="center" vertical="center"/>
    </xf>
    <xf numFmtId="14" fontId="33" fillId="2" borderId="0" xfId="0" applyNumberFormat="1" applyFont="1" applyFill="1" applyAlignment="1">
      <alignment vertical="center"/>
    </xf>
    <xf numFmtId="14" fontId="34" fillId="2" borderId="4" xfId="0" applyNumberFormat="1" applyFont="1" applyFill="1" applyBorder="1" applyAlignment="1">
      <alignment horizontal="center" vertical="center" wrapText="1"/>
    </xf>
    <xf numFmtId="14" fontId="34" fillId="2" borderId="5" xfId="0" applyNumberFormat="1" applyFont="1" applyFill="1" applyBorder="1" applyAlignment="1">
      <alignment horizontal="center" vertical="center" wrapText="1"/>
    </xf>
    <xf numFmtId="14" fontId="30" fillId="2" borderId="0" xfId="0" applyNumberFormat="1" applyFont="1" applyFill="1" applyBorder="1" applyAlignment="1">
      <alignment vertical="center"/>
    </xf>
    <xf numFmtId="14" fontId="0" fillId="2" borderId="0" xfId="0" applyNumberFormat="1" applyFont="1" applyFill="1"/>
    <xf numFmtId="0" fontId="13" fillId="0" borderId="0" xfId="0" applyFont="1" applyFill="1" applyBorder="1" applyAlignment="1">
      <alignment horizontal="left" vertical="center"/>
    </xf>
    <xf numFmtId="0" fontId="15" fillId="2" borderId="0" xfId="0" applyFont="1" applyFill="1" applyBorder="1" applyAlignment="1">
      <alignment horizontal="left" vertical="center" wrapText="1"/>
    </xf>
    <xf numFmtId="167" fontId="19" fillId="2" borderId="0" xfId="0" quotePrefix="1" applyNumberFormat="1" applyFont="1" applyFill="1" applyBorder="1" applyAlignment="1">
      <alignment horizontal="left" vertical="center" wrapText="1"/>
    </xf>
    <xf numFmtId="167" fontId="22" fillId="2" borderId="0" xfId="0" quotePrefix="1" applyNumberFormat="1" applyFont="1" applyFill="1" applyBorder="1" applyAlignment="1">
      <alignment horizontal="left" vertical="center" wrapText="1"/>
    </xf>
    <xf numFmtId="0" fontId="4" fillId="0" borderId="0" xfId="0" applyFont="1" applyBorder="1" applyAlignment="1">
      <alignment horizontal="left" vertical="center"/>
    </xf>
    <xf numFmtId="0" fontId="24" fillId="0" borderId="0" xfId="0" applyFont="1" applyBorder="1" applyAlignment="1">
      <alignment horizontal="left" vertical="center"/>
    </xf>
    <xf numFmtId="0" fontId="25" fillId="0" borderId="0" xfId="0" applyFont="1" applyBorder="1" applyAlignment="1">
      <alignment horizontal="left" vertical="center"/>
    </xf>
    <xf numFmtId="0" fontId="0" fillId="0" borderId="0" xfId="0" applyBorder="1" applyAlignment="1">
      <alignment horizontal="left"/>
    </xf>
    <xf numFmtId="0" fontId="0" fillId="2" borderId="0" xfId="0" applyFill="1" applyBorder="1" applyAlignment="1">
      <alignment horizontal="left"/>
    </xf>
    <xf numFmtId="164" fontId="5" fillId="0" borderId="0" xfId="1" applyFont="1" applyBorder="1" applyAlignment="1"/>
    <xf numFmtId="2" fontId="0" fillId="0" borderId="0" xfId="0" applyNumberFormat="1"/>
    <xf numFmtId="167" fontId="19" fillId="3" borderId="0" xfId="0" quotePrefix="1" applyNumberFormat="1" applyFont="1" applyFill="1" applyBorder="1" applyAlignment="1">
      <alignment horizontal="left" vertical="center" wrapText="1"/>
    </xf>
    <xf numFmtId="0" fontId="17" fillId="3" borderId="7" xfId="0" applyFont="1" applyFill="1" applyBorder="1" applyAlignment="1">
      <alignment horizontal="center" vertical="center"/>
    </xf>
    <xf numFmtId="0" fontId="18" fillId="3" borderId="1" xfId="0" applyFont="1" applyFill="1" applyBorder="1" applyAlignment="1">
      <alignment horizontal="center" vertical="center" wrapText="1"/>
    </xf>
    <xf numFmtId="167" fontId="19" fillId="3" borderId="7" xfId="0" quotePrefix="1" applyNumberFormat="1" applyFont="1" applyFill="1" applyBorder="1" applyAlignment="1">
      <alignment horizontal="center" vertical="center" wrapText="1"/>
    </xf>
    <xf numFmtId="0" fontId="18" fillId="3" borderId="8" xfId="0" quotePrefix="1" applyFont="1" applyFill="1" applyBorder="1" applyAlignment="1">
      <alignment vertical="center" wrapText="1"/>
    </xf>
    <xf numFmtId="43" fontId="18" fillId="3" borderId="1" xfId="2" applyFont="1" applyFill="1" applyBorder="1" applyAlignment="1">
      <alignment horizontal="center" vertical="center" wrapText="1"/>
    </xf>
    <xf numFmtId="14" fontId="18" fillId="3" borderId="1" xfId="0" applyNumberFormat="1" applyFont="1" applyFill="1" applyBorder="1" applyAlignment="1">
      <alignment horizontal="center" vertical="center"/>
    </xf>
    <xf numFmtId="14" fontId="17" fillId="3" borderId="1" xfId="0" applyNumberFormat="1" applyFont="1" applyFill="1" applyBorder="1" applyAlignment="1">
      <alignment horizontal="center" vertical="center"/>
    </xf>
    <xf numFmtId="0" fontId="17" fillId="3" borderId="1" xfId="0" applyFont="1" applyFill="1" applyBorder="1" applyAlignment="1">
      <alignment horizontal="center" vertical="center"/>
    </xf>
    <xf numFmtId="49" fontId="18" fillId="3" borderId="1" xfId="0" applyNumberFormat="1" applyFont="1" applyFill="1" applyBorder="1" applyAlignment="1">
      <alignment horizontal="center" vertical="center"/>
    </xf>
    <xf numFmtId="166" fontId="19" fillId="3" borderId="1" xfId="0" applyNumberFormat="1" applyFont="1" applyFill="1" applyBorder="1" applyAlignment="1">
      <alignment horizontal="center" vertical="center" wrapText="1"/>
    </xf>
    <xf numFmtId="0" fontId="0" fillId="3" borderId="0" xfId="0" applyFill="1"/>
    <xf numFmtId="0" fontId="0" fillId="0" borderId="0" xfId="0" applyNumberFormat="1"/>
    <xf numFmtId="164" fontId="12" fillId="0" borderId="0" xfId="1" applyFont="1" applyAlignment="1">
      <alignment horizontal="left" vertical="top" wrapText="1"/>
    </xf>
    <xf numFmtId="14" fontId="18" fillId="3" borderId="1" xfId="0" applyNumberFormat="1" applyFont="1" applyFill="1" applyBorder="1" applyAlignment="1">
      <alignment horizontal="center" vertical="center" wrapText="1"/>
    </xf>
    <xf numFmtId="0" fontId="20" fillId="3" borderId="0" xfId="0" applyFont="1" applyFill="1"/>
    <xf numFmtId="0" fontId="18" fillId="3" borderId="8" xfId="0" quotePrefix="1" applyFont="1" applyFill="1" applyBorder="1" applyAlignment="1">
      <alignment horizontal="left" vertical="center" wrapText="1"/>
    </xf>
    <xf numFmtId="167" fontId="19" fillId="4" borderId="0" xfId="0" quotePrefix="1" applyNumberFormat="1" applyFont="1" applyFill="1" applyBorder="1" applyAlignment="1">
      <alignment horizontal="left" vertical="center" wrapText="1"/>
    </xf>
    <xf numFmtId="0" fontId="17" fillId="4" borderId="7" xfId="0" applyFont="1" applyFill="1" applyBorder="1" applyAlignment="1">
      <alignment horizontal="center" vertical="center"/>
    </xf>
    <xf numFmtId="14" fontId="18" fillId="4" borderId="1" xfId="0" applyNumberFormat="1" applyFont="1" applyFill="1" applyBorder="1" applyAlignment="1">
      <alignment horizontal="center" vertical="center" wrapText="1"/>
    </xf>
    <xf numFmtId="167" fontId="19" fillId="4" borderId="7" xfId="0" quotePrefix="1" applyNumberFormat="1" applyFont="1" applyFill="1" applyBorder="1" applyAlignment="1">
      <alignment horizontal="center" vertical="center" wrapText="1"/>
    </xf>
    <xf numFmtId="0" fontId="18" fillId="4" borderId="8" xfId="0" quotePrefix="1" applyFont="1" applyFill="1" applyBorder="1" applyAlignment="1">
      <alignment vertical="center" wrapText="1"/>
    </xf>
    <xf numFmtId="43" fontId="18" fillId="4" borderId="1" xfId="2" applyFont="1" applyFill="1" applyBorder="1" applyAlignment="1">
      <alignment horizontal="center" vertical="center" wrapText="1"/>
    </xf>
    <xf numFmtId="14" fontId="18" fillId="4" borderId="1" xfId="0" applyNumberFormat="1" applyFont="1" applyFill="1" applyBorder="1" applyAlignment="1">
      <alignment horizontal="center" vertical="center"/>
    </xf>
    <xf numFmtId="0" fontId="17" fillId="4" borderId="1" xfId="0" applyFont="1" applyFill="1" applyBorder="1" applyAlignment="1">
      <alignment horizontal="center" vertical="center"/>
    </xf>
    <xf numFmtId="49" fontId="18" fillId="4" borderId="1" xfId="0" applyNumberFormat="1" applyFont="1" applyFill="1" applyBorder="1" applyAlignment="1">
      <alignment horizontal="center" vertical="center"/>
    </xf>
    <xf numFmtId="166" fontId="19" fillId="4" borderId="1" xfId="0" applyNumberFormat="1" applyFont="1" applyFill="1" applyBorder="1" applyAlignment="1">
      <alignment horizontal="center" vertical="center" wrapText="1"/>
    </xf>
    <xf numFmtId="0" fontId="18" fillId="4" borderId="1" xfId="0" applyFont="1" applyFill="1" applyBorder="1" applyAlignment="1">
      <alignment horizontal="center" vertical="center" wrapText="1"/>
    </xf>
    <xf numFmtId="0" fontId="0" fillId="4" borderId="0" xfId="0" applyFill="1"/>
    <xf numFmtId="14" fontId="38" fillId="3" borderId="1" xfId="0" applyNumberFormat="1" applyFont="1" applyFill="1" applyBorder="1" applyAlignment="1">
      <alignment horizontal="center" vertical="center" wrapText="1"/>
    </xf>
    <xf numFmtId="0" fontId="13" fillId="0" borderId="0" xfId="0" applyFont="1" applyFill="1" applyAlignment="1">
      <alignment horizontal="center" vertical="center"/>
    </xf>
    <xf numFmtId="0" fontId="17" fillId="2" borderId="7" xfId="0" applyFont="1" applyFill="1" applyBorder="1" applyAlignment="1">
      <alignment horizontal="center" vertical="center"/>
    </xf>
    <xf numFmtId="167" fontId="19" fillId="0" borderId="7" xfId="0" quotePrefix="1" applyNumberFormat="1" applyFont="1" applyFill="1" applyBorder="1" applyAlignment="1">
      <alignment horizontal="center" vertical="center" wrapText="1"/>
    </xf>
    <xf numFmtId="0" fontId="18" fillId="0" borderId="1" xfId="0" applyFont="1" applyFill="1" applyBorder="1" applyAlignment="1">
      <alignment horizontal="center" vertical="center" wrapText="1"/>
    </xf>
    <xf numFmtId="167" fontId="19" fillId="0" borderId="0" xfId="0" quotePrefix="1" applyNumberFormat="1" applyFont="1" applyFill="1" applyBorder="1" applyAlignment="1">
      <alignment horizontal="left" vertical="center" wrapText="1"/>
    </xf>
    <xf numFmtId="0" fontId="17" fillId="0" borderId="7" xfId="0" applyFont="1" applyFill="1" applyBorder="1" applyAlignment="1">
      <alignment horizontal="center" vertical="center"/>
    </xf>
    <xf numFmtId="14" fontId="18" fillId="0" borderId="1" xfId="0" applyNumberFormat="1" applyFont="1" applyFill="1" applyBorder="1" applyAlignment="1">
      <alignment horizontal="center" vertical="center" wrapText="1"/>
    </xf>
    <xf numFmtId="0" fontId="18" fillId="0" borderId="8" xfId="0" quotePrefix="1" applyFont="1" applyFill="1" applyBorder="1" applyAlignment="1">
      <alignment vertical="center" wrapText="1"/>
    </xf>
    <xf numFmtId="43" fontId="18" fillId="0" borderId="1" xfId="2" applyFont="1" applyFill="1" applyBorder="1" applyAlignment="1">
      <alignment horizontal="center" vertical="center" wrapText="1"/>
    </xf>
    <xf numFmtId="14" fontId="18" fillId="0" borderId="1" xfId="0" applyNumberFormat="1" applyFont="1" applyFill="1" applyBorder="1" applyAlignment="1">
      <alignment horizontal="center" vertical="center"/>
    </xf>
    <xf numFmtId="0" fontId="17" fillId="0" borderId="1" xfId="0" applyFont="1" applyFill="1" applyBorder="1" applyAlignment="1">
      <alignment horizontal="center" vertical="center"/>
    </xf>
    <xf numFmtId="49" fontId="18" fillId="0" borderId="1" xfId="0" applyNumberFormat="1" applyFont="1" applyFill="1" applyBorder="1" applyAlignment="1">
      <alignment horizontal="center" vertical="center"/>
    </xf>
    <xf numFmtId="166" fontId="19" fillId="0" borderId="1" xfId="0" applyNumberFormat="1" applyFont="1" applyFill="1" applyBorder="1" applyAlignment="1">
      <alignment horizontal="center" vertical="center" wrapText="1"/>
    </xf>
    <xf numFmtId="0" fontId="20" fillId="0" borderId="0" xfId="0" applyFont="1" applyFill="1"/>
    <xf numFmtId="0" fontId="13" fillId="0" borderId="0" xfId="0" applyFont="1" applyFill="1" applyAlignment="1">
      <alignment horizontal="center" vertical="center"/>
    </xf>
    <xf numFmtId="0" fontId="18" fillId="2" borderId="8" xfId="0" quotePrefix="1" applyFont="1" applyFill="1" applyBorder="1" applyAlignment="1">
      <alignment horizontal="left" vertical="center" wrapText="1"/>
    </xf>
    <xf numFmtId="0" fontId="18" fillId="2" borderId="7" xfId="0" applyFont="1" applyFill="1" applyBorder="1" applyAlignment="1">
      <alignment horizontal="center" vertical="center"/>
    </xf>
    <xf numFmtId="0" fontId="18" fillId="2" borderId="1" xfId="0" applyFont="1" applyFill="1" applyBorder="1" applyAlignment="1">
      <alignment horizontal="center" vertical="center"/>
    </xf>
    <xf numFmtId="0" fontId="32" fillId="2" borderId="0" xfId="0" applyFont="1" applyFill="1" applyAlignment="1">
      <alignment horizontal="center" vertical="center"/>
    </xf>
    <xf numFmtId="0" fontId="0" fillId="0" borderId="0" xfId="0" applyFill="1"/>
    <xf numFmtId="0" fontId="13" fillId="0" borderId="0" xfId="0" applyFont="1" applyFill="1" applyAlignment="1">
      <alignment horizontal="center" vertical="center"/>
    </xf>
    <xf numFmtId="49" fontId="18" fillId="2" borderId="1" xfId="0" applyNumberFormat="1" applyFont="1" applyFill="1" applyBorder="1" applyAlignment="1">
      <alignment horizontal="center" vertical="center" wrapText="1"/>
    </xf>
    <xf numFmtId="167" fontId="19" fillId="5" borderId="0" xfId="0" quotePrefix="1" applyNumberFormat="1" applyFont="1" applyFill="1" applyBorder="1" applyAlignment="1">
      <alignment horizontal="left" vertical="center" wrapText="1"/>
    </xf>
    <xf numFmtId="0" fontId="17" fillId="5" borderId="7" xfId="0" applyFont="1" applyFill="1" applyBorder="1" applyAlignment="1">
      <alignment horizontal="center" vertical="center"/>
    </xf>
    <xf numFmtId="14" fontId="18" fillId="5" borderId="1" xfId="0" applyNumberFormat="1" applyFont="1" applyFill="1" applyBorder="1" applyAlignment="1">
      <alignment horizontal="center" vertical="center" wrapText="1"/>
    </xf>
    <xf numFmtId="167" fontId="19" fillId="5" borderId="7" xfId="0" quotePrefix="1" applyNumberFormat="1" applyFont="1" applyFill="1" applyBorder="1" applyAlignment="1">
      <alignment horizontal="center" vertical="center" wrapText="1"/>
    </xf>
    <xf numFmtId="0" fontId="18" fillId="5" borderId="8" xfId="0" quotePrefix="1" applyFont="1" applyFill="1" applyBorder="1" applyAlignment="1">
      <alignment vertical="center" wrapText="1"/>
    </xf>
    <xf numFmtId="43" fontId="18" fillId="5" borderId="1" xfId="2" applyFont="1" applyFill="1" applyBorder="1" applyAlignment="1">
      <alignment horizontal="center" vertical="center" wrapText="1"/>
    </xf>
    <xf numFmtId="14" fontId="18" fillId="5" borderId="1" xfId="0" applyNumberFormat="1" applyFont="1" applyFill="1" applyBorder="1" applyAlignment="1">
      <alignment horizontal="center" vertical="center"/>
    </xf>
    <xf numFmtId="0" fontId="17" fillId="5" borderId="1" xfId="0" applyFont="1" applyFill="1" applyBorder="1" applyAlignment="1">
      <alignment horizontal="center" vertical="center"/>
    </xf>
    <xf numFmtId="49" fontId="18" fillId="5" borderId="1" xfId="0" applyNumberFormat="1" applyFont="1" applyFill="1" applyBorder="1" applyAlignment="1">
      <alignment horizontal="center" vertical="center"/>
    </xf>
    <xf numFmtId="166" fontId="19" fillId="5" borderId="1" xfId="0" applyNumberFormat="1" applyFont="1" applyFill="1" applyBorder="1" applyAlignment="1">
      <alignment horizontal="center" vertical="center" wrapText="1"/>
    </xf>
    <xf numFmtId="0" fontId="18" fillId="5" borderId="1" xfId="0" applyFont="1" applyFill="1" applyBorder="1" applyAlignment="1">
      <alignment horizontal="center" vertical="center" wrapText="1"/>
    </xf>
    <xf numFmtId="0" fontId="0" fillId="5" borderId="0" xfId="0" applyFill="1"/>
    <xf numFmtId="0" fontId="13" fillId="0" borderId="0" xfId="0" applyFont="1" applyFill="1" applyAlignment="1">
      <alignment horizontal="center" vertical="center"/>
    </xf>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1" fontId="40" fillId="3" borderId="1" xfId="3" applyNumberFormat="1" applyFont="1" applyFill="1" applyBorder="1" applyAlignment="1" applyProtection="1">
      <alignment horizontal="left" vertical="center" wrapText="1"/>
      <protection locked="0"/>
    </xf>
    <xf numFmtId="49" fontId="5" fillId="0" borderId="0" xfId="1" applyNumberFormat="1" applyFont="1" applyAlignment="1">
      <alignment horizontal="center"/>
    </xf>
    <xf numFmtId="164" fontId="5" fillId="0" borderId="0" xfId="1" applyFont="1" applyBorder="1" applyAlignment="1">
      <alignment horizontal="center"/>
    </xf>
    <xf numFmtId="164" fontId="4" fillId="0" borderId="0" xfId="1" applyFont="1" applyAlignment="1">
      <alignment horizontal="center"/>
    </xf>
    <xf numFmtId="164" fontId="9" fillId="0" borderId="0" xfId="1" applyFont="1" applyBorder="1" applyAlignment="1">
      <alignment horizontal="center"/>
    </xf>
    <xf numFmtId="164" fontId="5" fillId="0" borderId="0" xfId="1" applyFont="1" applyBorder="1" applyAlignment="1">
      <alignment horizontal="center" vertical="top"/>
    </xf>
    <xf numFmtId="164" fontId="37" fillId="0" borderId="0" xfId="1" applyFont="1" applyAlignment="1">
      <alignment horizontal="center" vertical="top"/>
    </xf>
    <xf numFmtId="164" fontId="5" fillId="0" borderId="0" xfId="1" applyFont="1" applyAlignment="1">
      <alignment horizontal="center" vertical="top"/>
    </xf>
    <xf numFmtId="0" fontId="10" fillId="0" borderId="0" xfId="0" applyFont="1" applyAlignment="1">
      <alignment horizontal="center" vertical="top" wrapText="1"/>
    </xf>
    <xf numFmtId="164" fontId="4" fillId="0" borderId="0" xfId="1" applyFont="1" applyAlignment="1">
      <alignment horizontal="left" vertical="top" wrapText="1"/>
    </xf>
    <xf numFmtId="164" fontId="12" fillId="0" borderId="0" xfId="1" applyFont="1" applyBorder="1" applyAlignment="1">
      <alignment horizontal="center" vertical="center" wrapText="1"/>
    </xf>
    <xf numFmtId="164" fontId="4" fillId="0" borderId="0" xfId="1" applyFont="1" applyBorder="1" applyAlignment="1">
      <alignment horizontal="center" vertical="center"/>
    </xf>
    <xf numFmtId="164" fontId="4" fillId="0" borderId="0" xfId="1" applyFont="1" applyAlignment="1">
      <alignment horizontal="center" wrapText="1"/>
    </xf>
    <xf numFmtId="164" fontId="36" fillId="0" borderId="9" xfId="1" applyFont="1" applyBorder="1" applyAlignment="1">
      <alignment horizontal="center"/>
    </xf>
    <xf numFmtId="164" fontId="36" fillId="0" borderId="10" xfId="1" applyFont="1" applyBorder="1" applyAlignment="1">
      <alignment horizontal="center"/>
    </xf>
    <xf numFmtId="164" fontId="36" fillId="0" borderId="11" xfId="1" applyFont="1" applyBorder="1" applyAlignment="1">
      <alignment horizontal="center"/>
    </xf>
    <xf numFmtId="164" fontId="36" fillId="0" borderId="12" xfId="1" applyFont="1" applyBorder="1" applyAlignment="1">
      <alignment horizontal="center"/>
    </xf>
    <xf numFmtId="164" fontId="36" fillId="0" borderId="0" xfId="1" applyFont="1" applyBorder="1" applyAlignment="1">
      <alignment horizontal="center"/>
    </xf>
    <xf numFmtId="164" fontId="36" fillId="0" borderId="13" xfId="1" applyFont="1" applyBorder="1" applyAlignment="1">
      <alignment horizontal="center"/>
    </xf>
    <xf numFmtId="164" fontId="36" fillId="0" borderId="14" xfId="1" applyFont="1" applyBorder="1" applyAlignment="1">
      <alignment horizontal="center"/>
    </xf>
    <xf numFmtId="164" fontId="36" fillId="0" borderId="15" xfId="1" applyFont="1" applyBorder="1" applyAlignment="1">
      <alignment horizontal="center"/>
    </xf>
    <xf numFmtId="164" fontId="36" fillId="0" borderId="16" xfId="1" applyFont="1" applyBorder="1" applyAlignment="1">
      <alignment horizontal="center"/>
    </xf>
    <xf numFmtId="164" fontId="4" fillId="0" borderId="0" xfId="1" applyFont="1" applyBorder="1" applyAlignment="1">
      <alignment horizontal="left"/>
    </xf>
    <xf numFmtId="164" fontId="7" fillId="0" borderId="0" xfId="1" applyFont="1" applyBorder="1" applyAlignment="1">
      <alignment horizontal="center" vertical="top" wrapText="1"/>
    </xf>
    <xf numFmtId="164" fontId="4" fillId="0" borderId="0" xfId="1" applyFont="1" applyBorder="1" applyAlignment="1">
      <alignment horizontal="center" vertical="top" wrapText="1"/>
    </xf>
    <xf numFmtId="164" fontId="8" fillId="0" borderId="0" xfId="1" applyFont="1" applyBorder="1" applyAlignment="1">
      <alignment horizontal="center"/>
    </xf>
    <xf numFmtId="164" fontId="5" fillId="0" borderId="0" xfId="1" applyFont="1" applyAlignment="1">
      <alignment horizontal="center"/>
    </xf>
    <xf numFmtId="2" fontId="4" fillId="0" borderId="1" xfId="1" applyNumberFormat="1" applyFont="1" applyBorder="1" applyAlignment="1">
      <alignment horizontal="center"/>
    </xf>
    <xf numFmtId="164" fontId="4" fillId="0" borderId="1" xfId="1" applyFont="1" applyBorder="1" applyAlignment="1">
      <alignment horizontal="center"/>
    </xf>
    <xf numFmtId="164" fontId="4" fillId="0" borderId="1" xfId="1" applyFont="1" applyBorder="1" applyAlignment="1">
      <alignment horizontal="center" vertical="center"/>
    </xf>
    <xf numFmtId="2" fontId="4" fillId="0" borderId="9" xfId="1" applyNumberFormat="1" applyFont="1" applyBorder="1" applyAlignment="1">
      <alignment horizontal="center"/>
    </xf>
    <xf numFmtId="2" fontId="4" fillId="0" borderId="10" xfId="1" applyNumberFormat="1" applyFont="1" applyBorder="1" applyAlignment="1">
      <alignment horizontal="center"/>
    </xf>
    <xf numFmtId="2" fontId="4" fillId="0" borderId="11" xfId="1" applyNumberFormat="1" applyFont="1" applyBorder="1" applyAlignment="1">
      <alignment horizontal="center"/>
    </xf>
    <xf numFmtId="2" fontId="4" fillId="0" borderId="12" xfId="1" applyNumberFormat="1" applyFont="1" applyBorder="1" applyAlignment="1">
      <alignment horizontal="center"/>
    </xf>
    <xf numFmtId="2" fontId="4" fillId="0" borderId="0" xfId="1" applyNumberFormat="1" applyFont="1" applyBorder="1" applyAlignment="1">
      <alignment horizontal="center"/>
    </xf>
    <xf numFmtId="2" fontId="4" fillId="0" borderId="13" xfId="1" applyNumberFormat="1" applyFont="1" applyBorder="1" applyAlignment="1">
      <alignment horizontal="center"/>
    </xf>
    <xf numFmtId="2" fontId="4" fillId="0" borderId="14" xfId="1" applyNumberFormat="1" applyFont="1" applyBorder="1" applyAlignment="1">
      <alignment horizontal="center"/>
    </xf>
    <xf numFmtId="2" fontId="4" fillId="0" borderId="15" xfId="1" applyNumberFormat="1" applyFont="1" applyBorder="1" applyAlignment="1">
      <alignment horizontal="center"/>
    </xf>
    <xf numFmtId="2" fontId="4" fillId="0" borderId="16" xfId="1" applyNumberFormat="1" applyFont="1" applyBorder="1" applyAlignment="1">
      <alignment horizontal="center"/>
    </xf>
    <xf numFmtId="164" fontId="12" fillId="0" borderId="0" xfId="1" applyFont="1" applyBorder="1" applyAlignment="1">
      <alignment vertical="center" wrapText="1"/>
    </xf>
    <xf numFmtId="164" fontId="12" fillId="0" borderId="0" xfId="1" applyFont="1" applyBorder="1" applyAlignment="1">
      <alignment vertical="center"/>
    </xf>
    <xf numFmtId="164" fontId="12" fillId="0" borderId="0" xfId="1" applyFont="1" applyBorder="1" applyAlignment="1">
      <alignment horizontal="left" vertical="center"/>
    </xf>
    <xf numFmtId="164" fontId="15" fillId="0" borderId="0" xfId="1" applyFont="1" applyBorder="1" applyAlignment="1">
      <alignment horizontal="left" vertical="center" wrapText="1"/>
    </xf>
    <xf numFmtId="164" fontId="31" fillId="0" borderId="0" xfId="1" applyFont="1" applyBorder="1" applyAlignment="1">
      <alignment horizontal="center"/>
    </xf>
    <xf numFmtId="14" fontId="28" fillId="3" borderId="0" xfId="0" applyNumberFormat="1" applyFont="1" applyFill="1" applyBorder="1" applyAlignment="1">
      <alignment horizontal="center" vertical="center"/>
    </xf>
    <xf numFmtId="164" fontId="12" fillId="0" borderId="0" xfId="1" applyFont="1" applyBorder="1" applyAlignment="1">
      <alignment horizontal="left" vertical="top" wrapText="1"/>
    </xf>
    <xf numFmtId="164" fontId="12" fillId="0" borderId="0" xfId="1" applyFont="1" applyBorder="1" applyAlignment="1">
      <alignment horizontal="left" vertical="center" wrapText="1"/>
    </xf>
    <xf numFmtId="49" fontId="12" fillId="0" borderId="0" xfId="1" applyNumberFormat="1" applyFont="1" applyBorder="1" applyAlignment="1">
      <alignment horizontal="left" vertical="center"/>
    </xf>
    <xf numFmtId="164" fontId="12" fillId="0" borderId="0" xfId="1" applyFont="1" applyAlignment="1">
      <alignment horizontal="left" vertical="top"/>
    </xf>
    <xf numFmtId="168" fontId="15" fillId="0" borderId="0" xfId="1" applyNumberFormat="1" applyFont="1" applyBorder="1" applyAlignment="1">
      <alignment horizontal="left" wrapText="1"/>
    </xf>
    <xf numFmtId="164" fontId="12" fillId="0" borderId="0" xfId="1" applyFont="1" applyAlignment="1">
      <alignment horizontal="left" vertical="top" wrapText="1"/>
    </xf>
    <xf numFmtId="164" fontId="7" fillId="0" borderId="0" xfId="1" applyFont="1" applyAlignment="1">
      <alignment horizontal="left" vertical="top"/>
    </xf>
    <xf numFmtId="2" fontId="4" fillId="0" borderId="0" xfId="1" applyNumberFormat="1" applyFont="1" applyAlignment="1">
      <alignment horizontal="center"/>
    </xf>
    <xf numFmtId="0" fontId="14" fillId="0" borderId="0" xfId="0" applyFont="1" applyFill="1" applyAlignment="1">
      <alignment horizontal="center" vertical="center"/>
    </xf>
    <xf numFmtId="0" fontId="13" fillId="0" borderId="0" xfId="0" applyFont="1" applyFill="1" applyAlignment="1">
      <alignment horizontal="center" vertical="center"/>
    </xf>
  </cellXfs>
  <cellStyles count="4">
    <cellStyle name="Comma 2" xfId="2" xr:uid="{00000000-0005-0000-0000-000000000000}"/>
    <cellStyle name="Normal" xfId="0" builtinId="0"/>
    <cellStyle name="Normal 2" xfId="1" xr:uid="{00000000-0005-0000-0000-000002000000}"/>
    <cellStyle name="Normal 3" xfId="3" xr:uid="{00000000-0005-0000-0000-000003000000}"/>
  </cellStyles>
  <dxfs count="2">
    <dxf>
      <font>
        <color rgb="FF000000"/>
      </font>
      <fill>
        <patternFill patternType="solid">
          <fgColor rgb="FFFF6600"/>
          <bgColor rgb="FFFF6600"/>
        </patternFill>
      </fill>
    </dxf>
    <dxf>
      <font>
        <color rgb="FF000000"/>
      </font>
      <fill>
        <patternFill patternType="solid">
          <fgColor rgb="FFFF6600"/>
          <bgColor rgb="FFFF6600"/>
        </patternFill>
      </fill>
    </dxf>
  </dxfs>
  <tableStyles count="0" defaultTableStyle="TableStyleMedium2" defaultPivotStyle="PivotStyleLight16"/>
  <colors>
    <mruColors>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oneCellAnchor>
    <xdr:from>
      <xdr:col>2</xdr:col>
      <xdr:colOff>372242</xdr:colOff>
      <xdr:row>0</xdr:row>
      <xdr:rowOff>175172</xdr:rowOff>
    </xdr:from>
    <xdr:ext cx="914400" cy="906780"/>
    <xdr:pic>
      <xdr:nvPicPr>
        <xdr:cNvPr id="2" name="Picture 1">
          <a:extLst>
            <a:ext uri="{FF2B5EF4-FFF2-40B4-BE49-F238E27FC236}">
              <a16:creationId xmlns:a16="http://schemas.microsoft.com/office/drawing/2014/main" id="{C37026ED-C549-4411-9333-0578A8EBBD2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1035" y="175172"/>
          <a:ext cx="914400" cy="90678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2</xdr:col>
      <xdr:colOff>372242</xdr:colOff>
      <xdr:row>0</xdr:row>
      <xdr:rowOff>175172</xdr:rowOff>
    </xdr:from>
    <xdr:ext cx="914400" cy="906780"/>
    <xdr:pic>
      <xdr:nvPicPr>
        <xdr:cNvPr id="2" name="Picture 1">
          <a:extLst>
            <a:ext uri="{FF2B5EF4-FFF2-40B4-BE49-F238E27FC236}">
              <a16:creationId xmlns:a16="http://schemas.microsoft.com/office/drawing/2014/main" id="{76D15965-FDE3-4375-8453-99121E0CAD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8042" y="175172"/>
          <a:ext cx="914400" cy="906780"/>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Z52"/>
  <sheetViews>
    <sheetView tabSelected="1" showWhiteSpace="0" view="pageBreakPreview" zoomScaleNormal="82" zoomScaleSheetLayoutView="100" workbookViewId="0">
      <selection activeCell="A14" sqref="A14:K25"/>
    </sheetView>
  </sheetViews>
  <sheetFormatPr defaultColWidth="9.140625" defaultRowHeight="14.25"/>
  <cols>
    <col min="1" max="1" width="3.85546875" style="1" customWidth="1"/>
    <col min="2" max="2" width="5.5703125" style="1" customWidth="1"/>
    <col min="3" max="3" width="6.5703125" style="1" customWidth="1"/>
    <col min="4" max="4" width="1.7109375" style="1" customWidth="1"/>
    <col min="5" max="5" width="9.7109375" style="1" customWidth="1"/>
    <col min="6" max="6" width="5.7109375" style="1" customWidth="1"/>
    <col min="7" max="7" width="10.140625" style="1" customWidth="1"/>
    <col min="8" max="8" width="25" style="1" customWidth="1"/>
    <col min="9" max="9" width="20.42578125" style="1" customWidth="1"/>
    <col min="10" max="10" width="7.140625" style="1" customWidth="1"/>
    <col min="11" max="11" width="6.42578125" style="1" customWidth="1"/>
    <col min="12" max="12" width="4.7109375" style="1" customWidth="1"/>
    <col min="13" max="16384" width="9.140625" style="1"/>
  </cols>
  <sheetData>
    <row r="1" spans="1:22">
      <c r="A1" s="175" t="s">
        <v>7</v>
      </c>
      <c r="B1" s="175"/>
      <c r="C1" s="175"/>
      <c r="D1" s="175"/>
      <c r="E1" s="175"/>
      <c r="F1" s="175"/>
      <c r="G1" s="175"/>
      <c r="H1" s="175"/>
      <c r="I1" s="175"/>
      <c r="J1" s="175"/>
      <c r="K1" s="175"/>
      <c r="M1" s="201" t="s">
        <v>50</v>
      </c>
      <c r="N1" s="201"/>
      <c r="O1" s="201"/>
      <c r="P1" s="201"/>
      <c r="Q1" s="201"/>
    </row>
    <row r="2" spans="1:22">
      <c r="A2" s="176" t="s">
        <v>6</v>
      </c>
      <c r="B2" s="176"/>
      <c r="C2" s="176"/>
      <c r="D2" s="176"/>
      <c r="E2" s="176"/>
      <c r="F2" s="176"/>
      <c r="G2" s="176"/>
      <c r="H2" s="176"/>
      <c r="I2" s="176"/>
      <c r="J2" s="176"/>
      <c r="K2" s="176"/>
      <c r="M2" s="201"/>
      <c r="N2" s="201"/>
      <c r="O2" s="201"/>
      <c r="P2" s="201"/>
      <c r="Q2" s="201"/>
    </row>
    <row r="3" spans="1:22">
      <c r="A3" s="176" t="s">
        <v>5</v>
      </c>
      <c r="B3" s="176"/>
      <c r="C3" s="176"/>
      <c r="D3" s="176"/>
      <c r="E3" s="176"/>
      <c r="F3" s="176"/>
      <c r="G3" s="176"/>
      <c r="H3" s="176"/>
      <c r="I3" s="176"/>
      <c r="J3" s="176"/>
      <c r="K3" s="176"/>
      <c r="M3" s="185" t="s">
        <v>1634</v>
      </c>
      <c r="N3" s="186"/>
      <c r="O3" s="186"/>
      <c r="P3" s="186"/>
      <c r="Q3" s="187"/>
      <c r="R3" s="185" t="s">
        <v>34</v>
      </c>
      <c r="S3" s="186"/>
      <c r="T3" s="186"/>
      <c r="U3" s="186"/>
      <c r="V3" s="187"/>
    </row>
    <row r="4" spans="1:22" ht="13.5" customHeight="1">
      <c r="A4" s="177" t="s">
        <v>4</v>
      </c>
      <c r="B4" s="177"/>
      <c r="C4" s="177"/>
      <c r="D4" s="177"/>
      <c r="E4" s="177"/>
      <c r="F4" s="177"/>
      <c r="G4" s="177"/>
      <c r="H4" s="177"/>
      <c r="I4" s="177"/>
      <c r="J4" s="177"/>
      <c r="K4" s="177"/>
      <c r="M4" s="188"/>
      <c r="N4" s="189"/>
      <c r="O4" s="189"/>
      <c r="P4" s="189"/>
      <c r="Q4" s="190"/>
      <c r="R4" s="188"/>
      <c r="S4" s="189"/>
      <c r="T4" s="189"/>
      <c r="U4" s="189"/>
      <c r="V4" s="190"/>
    </row>
    <row r="5" spans="1:22" ht="13.5" customHeight="1">
      <c r="A5" s="198" t="s">
        <v>3</v>
      </c>
      <c r="B5" s="198"/>
      <c r="C5" s="198"/>
      <c r="D5" s="198"/>
      <c r="E5" s="198"/>
      <c r="F5" s="198"/>
      <c r="G5" s="198"/>
      <c r="H5" s="198"/>
      <c r="I5" s="198"/>
      <c r="J5" s="198"/>
      <c r="K5" s="198"/>
      <c r="M5" s="191"/>
      <c r="N5" s="192"/>
      <c r="O5" s="192"/>
      <c r="P5" s="192"/>
      <c r="Q5" s="193"/>
      <c r="R5" s="191"/>
      <c r="S5" s="192"/>
      <c r="T5" s="192"/>
      <c r="U5" s="192"/>
      <c r="V5" s="193"/>
    </row>
    <row r="6" spans="1:22" ht="13.5" customHeight="1">
      <c r="A6" s="197" t="s">
        <v>2</v>
      </c>
      <c r="B6" s="197"/>
      <c r="C6" s="197"/>
      <c r="D6" s="197"/>
      <c r="E6" s="197"/>
      <c r="F6" s="197"/>
      <c r="G6" s="197"/>
      <c r="H6" s="197"/>
      <c r="I6" s="197"/>
      <c r="J6" s="197"/>
      <c r="K6" s="197"/>
      <c r="M6" s="202" t="str">
        <f>TEXT(VLOOKUP(R6,EXCEL!A14:M210,6,FALSE), " #,##0.00")</f>
        <v xml:space="preserve"> 5,704,017.55</v>
      </c>
      <c r="N6" s="203"/>
      <c r="O6" s="203"/>
      <c r="P6" s="203"/>
      <c r="Q6" s="204"/>
      <c r="R6" s="200" t="str">
        <f>M3&amp;R3</f>
        <v>24EB0064ADVANCE PAYMENT BOND</v>
      </c>
      <c r="S6" s="200"/>
      <c r="T6" s="200"/>
      <c r="U6" s="200"/>
      <c r="V6" s="200"/>
    </row>
    <row r="7" spans="1:22" ht="13.5" customHeight="1">
      <c r="A7" s="197" t="s">
        <v>1</v>
      </c>
      <c r="B7" s="197"/>
      <c r="C7" s="197"/>
      <c r="D7" s="197"/>
      <c r="E7" s="197"/>
      <c r="F7" s="197"/>
      <c r="G7" s="197"/>
      <c r="H7" s="197"/>
      <c r="I7" s="197"/>
      <c r="J7" s="197"/>
      <c r="K7" s="197"/>
      <c r="M7" s="205"/>
      <c r="N7" s="206"/>
      <c r="O7" s="206"/>
      <c r="P7" s="206"/>
      <c r="Q7" s="207"/>
      <c r="R7" s="200"/>
      <c r="S7" s="200"/>
      <c r="T7" s="200"/>
      <c r="U7" s="200"/>
      <c r="V7" s="200"/>
    </row>
    <row r="8" spans="1:22" ht="13.5" customHeight="1">
      <c r="A8" s="177"/>
      <c r="B8" s="177"/>
      <c r="C8" s="177"/>
      <c r="D8" s="177"/>
      <c r="E8" s="177"/>
      <c r="F8" s="177"/>
      <c r="G8" s="177"/>
      <c r="H8" s="177"/>
      <c r="I8" s="177"/>
      <c r="J8" s="177"/>
      <c r="K8" s="177"/>
      <c r="M8" s="208"/>
      <c r="N8" s="209"/>
      <c r="O8" s="209"/>
      <c r="P8" s="209"/>
      <c r="Q8" s="210"/>
      <c r="R8" s="200"/>
      <c r="S8" s="200"/>
      <c r="T8" s="200"/>
      <c r="U8" s="200"/>
      <c r="V8" s="200"/>
    </row>
    <row r="9" spans="1:22">
      <c r="A9" s="173"/>
      <c r="B9" s="173"/>
      <c r="C9" s="173"/>
      <c r="D9" s="173"/>
      <c r="E9" s="173"/>
      <c r="F9" s="173"/>
      <c r="G9" s="173"/>
      <c r="H9" s="173"/>
      <c r="I9" s="173"/>
      <c r="J9" s="173"/>
      <c r="K9" s="173"/>
      <c r="M9" s="199">
        <f>M6-TRUNC(M6)</f>
        <v>0.54999999981373549</v>
      </c>
      <c r="N9" s="199"/>
      <c r="O9" s="199"/>
      <c r="P9" s="199"/>
      <c r="Q9" s="199"/>
    </row>
    <row r="10" spans="1:22">
      <c r="A10" s="178" t="s">
        <v>8</v>
      </c>
      <c r="B10" s="179"/>
      <c r="C10" s="179"/>
      <c r="D10" s="179"/>
      <c r="E10" s="179"/>
      <c r="F10" s="179"/>
      <c r="G10" s="179"/>
      <c r="H10" s="179"/>
      <c r="I10" s="179"/>
      <c r="J10" s="179"/>
      <c r="K10" s="179"/>
      <c r="M10" s="199"/>
      <c r="N10" s="199"/>
      <c r="O10" s="199"/>
      <c r="P10" s="199"/>
      <c r="Q10" s="199"/>
    </row>
    <row r="11" spans="1:22">
      <c r="A11" s="179"/>
      <c r="B11" s="179"/>
      <c r="C11" s="179"/>
      <c r="D11" s="179"/>
      <c r="E11" s="179"/>
      <c r="F11" s="179"/>
      <c r="G11" s="179"/>
      <c r="H11" s="179"/>
      <c r="I11" s="179"/>
      <c r="J11" s="179"/>
      <c r="K11" s="179"/>
      <c r="M11" s="199"/>
      <c r="N11" s="199"/>
      <c r="O11" s="199"/>
      <c r="P11" s="199"/>
      <c r="Q11" s="199"/>
    </row>
    <row r="12" spans="1:22">
      <c r="A12" s="176"/>
      <c r="B12" s="176"/>
      <c r="C12" s="176"/>
      <c r="D12" s="176"/>
      <c r="E12" s="176"/>
      <c r="F12" s="176"/>
      <c r="G12" s="176"/>
      <c r="H12" s="176"/>
      <c r="I12" s="176"/>
      <c r="J12" s="176"/>
      <c r="K12" s="176"/>
      <c r="M12" s="199"/>
      <c r="N12" s="199"/>
      <c r="O12" s="199"/>
      <c r="P12" s="199"/>
      <c r="Q12" s="199"/>
    </row>
    <row r="13" spans="1:22">
      <c r="A13" s="174"/>
      <c r="B13" s="174"/>
      <c r="C13" s="174"/>
      <c r="D13" s="174"/>
      <c r="E13" s="174"/>
      <c r="F13" s="174"/>
      <c r="G13" s="174"/>
      <c r="H13" s="174"/>
      <c r="I13" s="174"/>
      <c r="J13" s="174"/>
      <c r="K13" s="174"/>
      <c r="M13" s="12"/>
      <c r="N13" s="12"/>
      <c r="O13" s="12"/>
      <c r="P13" s="12"/>
      <c r="Q13" s="12"/>
    </row>
    <row r="14" spans="1:22" ht="14.25" customHeight="1">
      <c r="A14" s="181" t="str">
        <f>"              THIS IS TO CERTIFY that "&amp;VLOOKUP(R6,EXCEL!A14:M210,13,FALSE)&amp;" "&amp;VLOOKUP(R6,EXCEL!A14:M210,11,FALSE)&amp;" issued by "&amp;VLOOKUP(R6,EXCEL!A14:M210,12,FALSE)&amp;" on  "&amp;TEXT(VLOOKUP(R6,EXCEL!A14:M210,7,FALSE), "mmmm dd, yyyy")&amp;"  in the amount of "&amp;SpellNumber(M6)&amp;Sheet1!E1&amp;Sheet1!F1&amp;"/100 "&amp;TEXT(VLOOKUP(R6,EXCEL!A14:M210,6,FALSE),"(₱ #,##0.00")&amp;")"&amp;" under contract with "&amp;VLOOKUP(R6,EXCEL!A14:M210,3,FALSE)&amp;" in connection with the project "&amp;VLOOKUP(R6,EXCEL!A14:M210,4,FALSE)&amp;" : "&amp;VLOOKUP(R6,EXCEL!A14:M210,5,FALSE)&amp;" was verified as evidenced by the attached letter of confirmation made under oath, dated "&amp;TEXT(VLOOKUP(R6,EXCEL!A14:M210,7,FALSE), "mmmm dd, yyyy")&amp;", issued by "&amp; VLOOKUP(R6,POSITION!A2:C200,2,FALSE)&amp;" , "&amp;VLOOKUP(R6,POSITION!A2:C200,3,FALSE)&amp;" of "&amp;VLOOKUP(R6,EXCEL!A14:M210,12,FALSE)&amp;"."</f>
        <v xml:space="preserve">              THIS IS TO CERTIFY that ADVANCE PAYMENT BOND G (40) 001036628 issued by COMMONWEALTH INSURANCE COMPANY on  February 14, 2024  in the amount of Five Million Seven Hundred Four Thousand Seventeen Pesos &amp; 55/100 (₱ 5,704,017.55) under contract with SIXTEEN ENTERPRISES  in connection with the project 24EB0064 : Construction of Flood Control Structures along Mamara River, Bagong Silang Section, Abra de Ilog, Occidental Mindoro was verified as evidenced by the attached letter of confirmation made under oath, dated February 14, 2024, issued by LEA C. DUENAS , REGIONAL MANAGER of COMMONWEALTH INSURANCE COMPANY.</v>
      </c>
      <c r="B14" s="181"/>
      <c r="C14" s="181"/>
      <c r="D14" s="181"/>
      <c r="E14" s="181"/>
      <c r="F14" s="181"/>
      <c r="G14" s="181"/>
      <c r="H14" s="181"/>
      <c r="I14" s="181"/>
      <c r="J14" s="181"/>
      <c r="K14" s="181"/>
      <c r="M14" s="12"/>
      <c r="N14" s="12"/>
      <c r="O14" s="12"/>
      <c r="P14" s="12"/>
      <c r="Q14" s="12"/>
    </row>
    <row r="15" spans="1:22">
      <c r="A15" s="181"/>
      <c r="B15" s="181"/>
      <c r="C15" s="181"/>
      <c r="D15" s="181"/>
      <c r="E15" s="181"/>
      <c r="F15" s="181"/>
      <c r="G15" s="181"/>
      <c r="H15" s="181"/>
      <c r="I15" s="181"/>
      <c r="J15" s="181"/>
      <c r="K15" s="181"/>
      <c r="M15" s="12"/>
      <c r="N15" s="12"/>
      <c r="O15" s="12"/>
      <c r="P15" s="12"/>
      <c r="Q15" s="12"/>
    </row>
    <row r="16" spans="1:22">
      <c r="A16" s="181"/>
      <c r="B16" s="181"/>
      <c r="C16" s="181"/>
      <c r="D16" s="181"/>
      <c r="E16" s="181"/>
      <c r="F16" s="181"/>
      <c r="G16" s="181"/>
      <c r="H16" s="181"/>
      <c r="I16" s="181"/>
      <c r="J16" s="181"/>
      <c r="K16" s="181"/>
      <c r="M16" s="12"/>
      <c r="N16" s="12"/>
      <c r="O16" s="12"/>
      <c r="P16" s="12"/>
      <c r="Q16" s="12"/>
    </row>
    <row r="17" spans="1:26">
      <c r="A17" s="181"/>
      <c r="B17" s="181"/>
      <c r="C17" s="181"/>
      <c r="D17" s="181"/>
      <c r="E17" s="181"/>
      <c r="F17" s="181"/>
      <c r="G17" s="181"/>
      <c r="H17" s="181"/>
      <c r="I17" s="181"/>
      <c r="J17" s="181"/>
      <c r="K17" s="181"/>
    </row>
    <row r="18" spans="1:26">
      <c r="A18" s="181"/>
      <c r="B18" s="181"/>
      <c r="C18" s="181"/>
      <c r="D18" s="181"/>
      <c r="E18" s="181"/>
      <c r="F18" s="181"/>
      <c r="G18" s="181"/>
      <c r="H18" s="181"/>
      <c r="I18" s="181"/>
      <c r="J18" s="181"/>
      <c r="K18" s="181"/>
    </row>
    <row r="19" spans="1:26" ht="15" customHeight="1">
      <c r="A19" s="181"/>
      <c r="B19" s="181"/>
      <c r="C19" s="181"/>
      <c r="D19" s="181"/>
      <c r="E19" s="181"/>
      <c r="F19" s="181"/>
      <c r="G19" s="181"/>
      <c r="H19" s="181"/>
      <c r="I19" s="181"/>
      <c r="J19" s="181"/>
      <c r="K19" s="181"/>
      <c r="T19" s="184"/>
      <c r="U19" s="184"/>
      <c r="V19" s="184"/>
      <c r="W19" s="184"/>
      <c r="X19" s="184"/>
      <c r="Y19" s="184"/>
      <c r="Z19" s="184"/>
    </row>
    <row r="20" spans="1:26" ht="27.75" customHeight="1">
      <c r="A20" s="181"/>
      <c r="B20" s="181"/>
      <c r="C20" s="181"/>
      <c r="D20" s="181"/>
      <c r="E20" s="181"/>
      <c r="F20" s="181"/>
      <c r="G20" s="181"/>
      <c r="H20" s="181"/>
      <c r="I20" s="181"/>
      <c r="J20" s="181"/>
      <c r="K20" s="181"/>
      <c r="T20" s="184"/>
      <c r="U20" s="184"/>
      <c r="V20" s="184"/>
      <c r="W20" s="184"/>
      <c r="X20" s="184"/>
      <c r="Y20" s="184"/>
      <c r="Z20" s="184"/>
    </row>
    <row r="21" spans="1:26" ht="3.75" hidden="1" customHeight="1">
      <c r="A21" s="181"/>
      <c r="B21" s="181"/>
      <c r="C21" s="181"/>
      <c r="D21" s="181"/>
      <c r="E21" s="181"/>
      <c r="F21" s="181"/>
      <c r="G21" s="181"/>
      <c r="H21" s="181"/>
      <c r="I21" s="181"/>
      <c r="J21" s="181"/>
      <c r="K21" s="181"/>
      <c r="T21" s="184"/>
      <c r="U21" s="184"/>
      <c r="V21" s="184"/>
      <c r="W21" s="184"/>
      <c r="X21" s="184"/>
      <c r="Y21" s="184"/>
      <c r="Z21" s="184"/>
    </row>
    <row r="22" spans="1:26" ht="14.25" hidden="1" customHeight="1">
      <c r="A22" s="181"/>
      <c r="B22" s="181"/>
      <c r="C22" s="181"/>
      <c r="D22" s="181"/>
      <c r="E22" s="181"/>
      <c r="F22" s="181"/>
      <c r="G22" s="181"/>
      <c r="H22" s="181"/>
      <c r="I22" s="181"/>
      <c r="J22" s="181"/>
      <c r="K22" s="181"/>
      <c r="T22" s="184"/>
      <c r="U22" s="184"/>
      <c r="V22" s="184"/>
      <c r="W22" s="184"/>
      <c r="X22" s="184"/>
      <c r="Y22" s="184"/>
      <c r="Z22" s="184"/>
    </row>
    <row r="23" spans="1:26" ht="30" hidden="1" customHeight="1">
      <c r="A23" s="181"/>
      <c r="B23" s="181"/>
      <c r="C23" s="181"/>
      <c r="D23" s="181"/>
      <c r="E23" s="181"/>
      <c r="F23" s="181"/>
      <c r="G23" s="181"/>
      <c r="H23" s="181"/>
      <c r="I23" s="181"/>
      <c r="J23" s="181"/>
      <c r="K23" s="181"/>
      <c r="T23" s="184"/>
      <c r="U23" s="184"/>
      <c r="V23" s="184"/>
      <c r="W23" s="184"/>
      <c r="X23" s="184"/>
      <c r="Y23" s="184"/>
      <c r="Z23" s="184"/>
    </row>
    <row r="24" spans="1:26" ht="15" hidden="1" customHeight="1">
      <c r="A24" s="181"/>
      <c r="B24" s="181"/>
      <c r="C24" s="181"/>
      <c r="D24" s="181"/>
      <c r="E24" s="181"/>
      <c r="F24" s="181"/>
      <c r="G24" s="181"/>
      <c r="H24" s="181"/>
      <c r="I24" s="181"/>
      <c r="J24" s="181"/>
      <c r="K24" s="181"/>
      <c r="T24" s="184"/>
      <c r="U24" s="184"/>
      <c r="V24" s="184"/>
      <c r="W24" s="184"/>
      <c r="X24" s="184"/>
      <c r="Y24" s="184"/>
      <c r="Z24" s="184"/>
    </row>
    <row r="25" spans="1:26" ht="9" hidden="1" customHeight="1">
      <c r="A25" s="181"/>
      <c r="B25" s="181"/>
      <c r="C25" s="181"/>
      <c r="D25" s="181"/>
      <c r="E25" s="181"/>
      <c r="F25" s="181"/>
      <c r="G25" s="181"/>
      <c r="H25" s="181"/>
      <c r="I25" s="181"/>
      <c r="J25" s="181"/>
      <c r="K25" s="181"/>
      <c r="T25" s="184"/>
      <c r="U25" s="184"/>
      <c r="V25" s="184"/>
      <c r="W25" s="184"/>
      <c r="X25" s="184"/>
      <c r="Y25" s="184"/>
      <c r="Z25" s="184"/>
    </row>
    <row r="26" spans="1:26" ht="15" customHeight="1">
      <c r="A26" s="7"/>
      <c r="B26" s="16"/>
      <c r="C26" s="16"/>
      <c r="D26" s="16"/>
      <c r="E26" s="16"/>
      <c r="F26" s="16"/>
      <c r="G26" s="16"/>
      <c r="H26" s="16"/>
      <c r="I26" s="16"/>
      <c r="J26" s="16"/>
      <c r="K26" s="7"/>
      <c r="T26" s="184"/>
      <c r="U26" s="184"/>
      <c r="V26" s="184"/>
      <c r="W26" s="184"/>
      <c r="X26" s="184"/>
      <c r="Y26" s="184"/>
      <c r="Z26" s="184"/>
    </row>
    <row r="27" spans="1:26">
      <c r="A27" s="7"/>
      <c r="B27" s="181" t="str">
        <f>"This Certification is issued on "&amp;TEXT(VLOOKUP(R6,EXCEL!A14:M210,7,FALSE), "mmmm dd, yyyyy")&amp;"."</f>
        <v>This Certification is issued on February 14, 2024.</v>
      </c>
      <c r="C27" s="181"/>
      <c r="D27" s="181"/>
      <c r="E27" s="181"/>
      <c r="F27" s="181"/>
      <c r="G27" s="181"/>
      <c r="H27" s="181"/>
      <c r="I27" s="181"/>
      <c r="J27" s="181"/>
      <c r="K27" s="7"/>
      <c r="T27" s="184"/>
      <c r="U27" s="184"/>
      <c r="V27" s="184"/>
      <c r="W27" s="184"/>
      <c r="X27" s="184"/>
      <c r="Y27" s="184"/>
      <c r="Z27" s="184"/>
    </row>
    <row r="28" spans="1:26">
      <c r="A28" s="7"/>
      <c r="B28" s="16"/>
      <c r="C28" s="16"/>
      <c r="D28" s="16"/>
      <c r="E28" s="16"/>
      <c r="F28" s="16"/>
      <c r="G28" s="16"/>
      <c r="H28" s="16"/>
      <c r="I28" s="16"/>
      <c r="J28" s="16"/>
      <c r="K28" s="7"/>
      <c r="T28" s="184"/>
      <c r="U28" s="184"/>
      <c r="V28" s="184"/>
      <c r="W28" s="184"/>
      <c r="X28" s="184"/>
      <c r="Y28" s="184"/>
      <c r="Z28" s="184"/>
    </row>
    <row r="29" spans="1:26">
      <c r="A29" s="7"/>
      <c r="B29" s="7"/>
      <c r="C29" s="7"/>
      <c r="D29" s="7"/>
      <c r="E29" s="7"/>
      <c r="F29" s="14"/>
      <c r="G29" s="7"/>
      <c r="H29" s="7"/>
      <c r="I29" s="7"/>
      <c r="J29" s="7"/>
      <c r="K29" s="7"/>
      <c r="T29" s="184"/>
      <c r="U29" s="184"/>
      <c r="V29" s="184"/>
      <c r="W29" s="184"/>
      <c r="X29" s="184"/>
      <c r="Y29" s="184"/>
      <c r="Z29" s="184"/>
    </row>
    <row r="30" spans="1:26">
      <c r="A30" s="12" t="s">
        <v>51</v>
      </c>
      <c r="B30" s="194" t="s">
        <v>52</v>
      </c>
      <c r="C30" s="194"/>
      <c r="D30" s="194"/>
      <c r="E30" s="194"/>
      <c r="F30" s="194"/>
      <c r="G30" s="194"/>
      <c r="H30" s="194"/>
      <c r="I30" s="194"/>
      <c r="J30" s="194"/>
      <c r="K30" s="12"/>
      <c r="T30" s="184"/>
      <c r="U30" s="184"/>
      <c r="V30" s="184"/>
      <c r="W30" s="184"/>
      <c r="X30" s="184"/>
      <c r="Y30" s="184"/>
      <c r="Z30" s="184"/>
    </row>
    <row r="31" spans="1:26">
      <c r="A31" s="12"/>
      <c r="B31" s="12"/>
      <c r="C31" s="12"/>
      <c r="D31" s="12"/>
      <c r="E31" s="12"/>
      <c r="F31" s="12"/>
      <c r="G31" s="12"/>
      <c r="H31" s="12"/>
      <c r="I31" s="12"/>
      <c r="J31" s="12"/>
      <c r="K31" s="12"/>
      <c r="T31" s="184"/>
      <c r="U31" s="184"/>
      <c r="V31" s="184"/>
      <c r="W31" s="184"/>
      <c r="X31" s="184"/>
      <c r="Y31" s="184"/>
      <c r="Z31" s="184"/>
    </row>
    <row r="32" spans="1:26">
      <c r="A32" s="7"/>
      <c r="B32" s="7"/>
      <c r="C32" s="7"/>
      <c r="D32" s="7"/>
      <c r="E32" s="7"/>
      <c r="F32" s="14"/>
      <c r="G32" s="7"/>
      <c r="H32" s="7"/>
      <c r="I32" s="7"/>
      <c r="J32" s="7"/>
      <c r="K32" s="7"/>
      <c r="T32" s="184"/>
      <c r="U32" s="184"/>
      <c r="V32" s="184"/>
      <c r="W32" s="184"/>
      <c r="X32" s="184"/>
      <c r="Y32" s="184"/>
      <c r="Z32" s="184"/>
    </row>
    <row r="33" spans="1:26">
      <c r="A33" s="7"/>
      <c r="B33" s="7"/>
      <c r="C33" s="7"/>
      <c r="D33" s="7"/>
      <c r="E33" s="7"/>
      <c r="F33" s="14"/>
      <c r="G33" s="7"/>
      <c r="H33" s="7"/>
      <c r="I33" s="7"/>
      <c r="J33" s="7"/>
      <c r="K33" s="7"/>
      <c r="T33" s="184"/>
      <c r="U33" s="184"/>
      <c r="V33" s="184"/>
      <c r="W33" s="184"/>
      <c r="X33" s="184"/>
      <c r="Y33" s="184"/>
      <c r="Z33" s="184"/>
    </row>
    <row r="34" spans="1:26" ht="15" customHeight="1">
      <c r="A34" s="14"/>
      <c r="B34" s="180" t="s">
        <v>9</v>
      </c>
      <c r="C34" s="180"/>
      <c r="D34" s="180"/>
      <c r="E34" s="180"/>
      <c r="F34" s="180"/>
      <c r="G34" s="180"/>
      <c r="H34" s="195" t="s">
        <v>10</v>
      </c>
      <c r="I34" s="195"/>
      <c r="J34" s="196"/>
      <c r="K34" s="7"/>
      <c r="T34" s="184"/>
      <c r="U34" s="184"/>
      <c r="V34" s="184"/>
      <c r="W34" s="184"/>
      <c r="X34" s="184"/>
      <c r="Y34" s="184"/>
      <c r="Z34" s="184"/>
    </row>
    <row r="35" spans="1:26" ht="15" customHeight="1">
      <c r="A35" s="14"/>
      <c r="B35" s="180"/>
      <c r="C35" s="180"/>
      <c r="D35" s="180"/>
      <c r="E35" s="180"/>
      <c r="F35" s="180"/>
      <c r="G35" s="180"/>
      <c r="H35" s="196"/>
      <c r="I35" s="196"/>
      <c r="J35" s="196"/>
      <c r="K35" s="7"/>
      <c r="T35" s="184"/>
      <c r="U35" s="184"/>
      <c r="V35" s="184"/>
      <c r="W35" s="184"/>
      <c r="X35" s="184"/>
      <c r="Y35" s="184"/>
      <c r="Z35" s="184"/>
    </row>
    <row r="36" spans="1:26" ht="15" customHeight="1">
      <c r="A36" s="14"/>
      <c r="B36" s="180"/>
      <c r="C36" s="180"/>
      <c r="D36" s="180"/>
      <c r="E36" s="180"/>
      <c r="F36" s="180"/>
      <c r="G36" s="180"/>
      <c r="H36" s="196"/>
      <c r="I36" s="196"/>
      <c r="J36" s="196"/>
      <c r="K36" s="7"/>
      <c r="T36" s="184"/>
      <c r="U36" s="184"/>
      <c r="V36" s="184"/>
      <c r="W36" s="184"/>
      <c r="X36" s="184"/>
      <c r="Y36" s="184"/>
      <c r="Z36" s="184"/>
    </row>
    <row r="37" spans="1:26" ht="14.25" customHeight="1">
      <c r="A37" s="14"/>
      <c r="B37" s="9"/>
      <c r="C37" s="14"/>
      <c r="D37" s="14"/>
      <c r="E37" s="14"/>
      <c r="F37" s="14"/>
      <c r="G37" s="7"/>
      <c r="H37" s="7"/>
      <c r="I37" s="7"/>
      <c r="J37" s="7"/>
      <c r="K37" s="7"/>
    </row>
    <row r="38" spans="1:26">
      <c r="A38" s="11"/>
      <c r="B38" s="9"/>
      <c r="C38" s="2"/>
      <c r="D38" s="2"/>
      <c r="E38" s="2"/>
      <c r="F38" s="2"/>
      <c r="G38" s="2"/>
      <c r="H38" s="3"/>
      <c r="I38" s="3"/>
      <c r="J38" s="3"/>
      <c r="K38" s="2"/>
    </row>
    <row r="39" spans="1:26">
      <c r="A39" s="10"/>
      <c r="B39" s="9"/>
      <c r="C39" s="8"/>
      <c r="D39" s="8"/>
      <c r="E39" s="8"/>
      <c r="F39" s="8"/>
      <c r="G39" s="8"/>
      <c r="H39" s="6"/>
      <c r="I39" s="6"/>
      <c r="J39" s="6"/>
      <c r="K39" s="2"/>
    </row>
    <row r="40" spans="1:26" ht="12.75" customHeight="1">
      <c r="A40" s="7"/>
      <c r="B40" s="180" t="s">
        <v>9</v>
      </c>
      <c r="C40" s="180"/>
      <c r="D40" s="180"/>
      <c r="E40" s="180"/>
      <c r="F40" s="180"/>
      <c r="G40" s="180"/>
      <c r="H40" s="180" t="s">
        <v>11</v>
      </c>
      <c r="I40" s="180"/>
      <c r="J40" s="180"/>
      <c r="K40" s="15"/>
      <c r="L40" s="15"/>
      <c r="M40" s="15"/>
    </row>
    <row r="41" spans="1:26" ht="20.25" customHeight="1">
      <c r="A41" s="12"/>
      <c r="B41" s="180"/>
      <c r="C41" s="180"/>
      <c r="D41" s="180"/>
      <c r="E41" s="180"/>
      <c r="F41" s="180"/>
      <c r="G41" s="180"/>
      <c r="H41" s="180"/>
      <c r="I41" s="180"/>
      <c r="J41" s="180"/>
      <c r="K41" s="15"/>
      <c r="L41" s="15"/>
      <c r="M41" s="15"/>
    </row>
    <row r="42" spans="1:26" ht="12.75" customHeight="1">
      <c r="A42" s="12"/>
      <c r="B42" s="180"/>
      <c r="C42" s="180"/>
      <c r="D42" s="180"/>
      <c r="E42" s="180"/>
      <c r="F42" s="180"/>
      <c r="G42" s="180"/>
      <c r="H42" s="180"/>
      <c r="I42" s="180"/>
      <c r="J42" s="180"/>
      <c r="K42" s="15"/>
      <c r="L42" s="15"/>
      <c r="M42" s="15"/>
    </row>
    <row r="43" spans="1:26" ht="21.75" customHeight="1">
      <c r="A43" s="12"/>
      <c r="B43" s="12"/>
      <c r="C43" s="12"/>
      <c r="D43" s="12"/>
      <c r="E43" s="12"/>
      <c r="F43" s="12"/>
      <c r="G43" s="12"/>
      <c r="H43" s="12"/>
      <c r="I43" s="12"/>
      <c r="J43" s="12"/>
      <c r="K43" s="12"/>
    </row>
    <row r="44" spans="1:26" ht="12.75" customHeight="1">
      <c r="A44" s="12"/>
      <c r="B44" s="12"/>
      <c r="C44" s="12"/>
      <c r="D44" s="12"/>
      <c r="E44" s="12"/>
      <c r="F44" s="12"/>
      <c r="G44" s="12"/>
      <c r="H44" s="12"/>
      <c r="I44" s="12"/>
      <c r="J44" s="12"/>
      <c r="K44" s="12"/>
    </row>
    <row r="45" spans="1:26" ht="12.75" customHeight="1">
      <c r="A45" s="12"/>
      <c r="B45" s="12"/>
      <c r="C45" s="12"/>
      <c r="D45" s="12"/>
      <c r="E45" s="182" t="s">
        <v>12</v>
      </c>
      <c r="F45" s="182"/>
      <c r="G45" s="183"/>
      <c r="H45" s="183"/>
      <c r="I45" s="13"/>
      <c r="J45" s="12"/>
      <c r="K45" s="12"/>
    </row>
    <row r="46" spans="1:26" ht="12.75" customHeight="1">
      <c r="A46" s="4"/>
      <c r="B46" s="5"/>
      <c r="C46" s="2"/>
      <c r="D46" s="2"/>
      <c r="E46" s="183"/>
      <c r="F46" s="183"/>
      <c r="G46" s="183"/>
      <c r="H46" s="183"/>
      <c r="I46" s="13"/>
      <c r="J46" s="3"/>
      <c r="K46" s="2"/>
    </row>
    <row r="47" spans="1:26" ht="12.75" customHeight="1">
      <c r="A47" s="4"/>
      <c r="B47" s="5"/>
      <c r="C47" s="2"/>
      <c r="D47" s="2"/>
      <c r="E47" s="183"/>
      <c r="F47" s="183"/>
      <c r="G47" s="183"/>
      <c r="H47" s="183"/>
      <c r="I47" s="13"/>
      <c r="J47" s="3"/>
      <c r="K47" s="2"/>
    </row>
    <row r="48" spans="1:26" ht="12.75" customHeight="1">
      <c r="A48" s="4"/>
      <c r="B48" s="5"/>
      <c r="C48" s="2"/>
      <c r="D48" s="2"/>
      <c r="E48" s="183"/>
      <c r="F48" s="183"/>
      <c r="G48" s="183"/>
      <c r="H48" s="183"/>
      <c r="I48" s="13"/>
      <c r="J48" s="3"/>
      <c r="K48" s="2"/>
    </row>
    <row r="49" spans="1:11" ht="12.75" customHeight="1">
      <c r="A49" s="4"/>
      <c r="B49" s="5"/>
      <c r="C49" s="2"/>
      <c r="D49" s="2"/>
      <c r="E49" s="2"/>
      <c r="F49" s="2"/>
      <c r="G49" s="4"/>
      <c r="J49" s="3"/>
      <c r="K49" s="2"/>
    </row>
    <row r="50" spans="1:11" ht="12.75" customHeight="1">
      <c r="A50" s="4"/>
      <c r="B50" s="5"/>
      <c r="C50" s="2"/>
      <c r="D50" s="2"/>
      <c r="E50" s="2"/>
      <c r="F50" s="2"/>
      <c r="G50" s="4"/>
      <c r="J50" s="3"/>
      <c r="K50" s="2"/>
    </row>
    <row r="51" spans="1:11">
      <c r="A51" s="173"/>
      <c r="B51" s="173"/>
      <c r="C51" s="173"/>
      <c r="D51" s="173"/>
      <c r="E51" s="173"/>
      <c r="F51" s="173"/>
      <c r="G51" s="173"/>
      <c r="H51" s="173"/>
      <c r="I51" s="173"/>
      <c r="J51" s="173"/>
      <c r="K51" s="173"/>
    </row>
    <row r="52" spans="1:11">
      <c r="A52" s="2"/>
      <c r="B52" s="2"/>
      <c r="C52" s="2"/>
      <c r="D52" s="2"/>
      <c r="E52" s="2"/>
      <c r="F52" s="2"/>
      <c r="G52" s="2"/>
      <c r="H52" s="2"/>
      <c r="I52" s="2"/>
      <c r="J52" s="2"/>
    </row>
  </sheetData>
  <mergeCells count="28">
    <mergeCell ref="T19:Z36"/>
    <mergeCell ref="H40:J42"/>
    <mergeCell ref="A2:K2"/>
    <mergeCell ref="M3:Q5"/>
    <mergeCell ref="B30:J30"/>
    <mergeCell ref="H34:J36"/>
    <mergeCell ref="A3:K3"/>
    <mergeCell ref="A4:K4"/>
    <mergeCell ref="A7:K7"/>
    <mergeCell ref="A5:K5"/>
    <mergeCell ref="A6:K6"/>
    <mergeCell ref="M9:Q12"/>
    <mergeCell ref="R3:V5"/>
    <mergeCell ref="R6:V8"/>
    <mergeCell ref="M1:Q2"/>
    <mergeCell ref="M6:Q8"/>
    <mergeCell ref="A51:K51"/>
    <mergeCell ref="A13:K13"/>
    <mergeCell ref="A1:K1"/>
    <mergeCell ref="A9:K9"/>
    <mergeCell ref="A12:K12"/>
    <mergeCell ref="A8:K8"/>
    <mergeCell ref="A10:K11"/>
    <mergeCell ref="B34:G36"/>
    <mergeCell ref="A14:K25"/>
    <mergeCell ref="E45:H48"/>
    <mergeCell ref="B27:J27"/>
    <mergeCell ref="B40:G42"/>
  </mergeCells>
  <printOptions horizontalCentered="1"/>
  <pageMargins left="0.70866141732283472" right="0.70866141732283472" top="0.74803149606299213" bottom="0.74803149606299213" header="0.31496062992125984" footer="0.31496062992125984"/>
  <pageSetup paperSize="9" scale="85" orientation="portrait" r:id="rId1"/>
  <headerFooter alignWithMargins="0">
    <oddFooter xml:space="preserve">&amp;R
</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AA55"/>
  <sheetViews>
    <sheetView view="pageBreakPreview" zoomScale="87" zoomScaleNormal="82" zoomScaleSheetLayoutView="87" workbookViewId="0">
      <selection activeCell="C26" sqref="C26:I30"/>
    </sheetView>
  </sheetViews>
  <sheetFormatPr defaultColWidth="9.140625" defaultRowHeight="14.25"/>
  <cols>
    <col min="1" max="1" width="5" style="1" customWidth="1"/>
    <col min="2" max="2" width="5.28515625" style="1" customWidth="1"/>
    <col min="3" max="3" width="12.5703125" style="1" customWidth="1"/>
    <col min="4" max="4" width="1.7109375" style="1" customWidth="1"/>
    <col min="5" max="5" width="13.42578125" style="1" customWidth="1"/>
    <col min="6" max="6" width="15" style="1" customWidth="1"/>
    <col min="7" max="7" width="25" style="1" customWidth="1"/>
    <col min="8" max="8" width="30.85546875" style="1" customWidth="1"/>
    <col min="9" max="9" width="5" style="1" customWidth="1"/>
    <col min="10" max="13" width="9.140625" style="1"/>
    <col min="14" max="14" width="10.42578125" style="1" bestFit="1" customWidth="1"/>
    <col min="15" max="15" width="12" style="1" bestFit="1" customWidth="1"/>
    <col min="16" max="16384" width="9.140625" style="1"/>
  </cols>
  <sheetData>
    <row r="1" spans="1:19">
      <c r="A1" s="175" t="s">
        <v>7</v>
      </c>
      <c r="B1" s="175"/>
      <c r="C1" s="175"/>
      <c r="D1" s="175"/>
      <c r="E1" s="175"/>
      <c r="F1" s="175"/>
      <c r="G1" s="175"/>
      <c r="H1" s="175"/>
      <c r="I1" s="175"/>
    </row>
    <row r="2" spans="1:19">
      <c r="A2" s="176" t="s">
        <v>6</v>
      </c>
      <c r="B2" s="176"/>
      <c r="C2" s="176"/>
      <c r="D2" s="176"/>
      <c r="E2" s="176"/>
      <c r="F2" s="176"/>
      <c r="G2" s="176"/>
      <c r="H2" s="176"/>
      <c r="I2" s="176"/>
    </row>
    <row r="3" spans="1:19">
      <c r="A3" s="176" t="s">
        <v>5</v>
      </c>
      <c r="B3" s="176"/>
      <c r="C3" s="176"/>
      <c r="D3" s="176"/>
      <c r="E3" s="176"/>
      <c r="F3" s="176"/>
      <c r="G3" s="176"/>
      <c r="H3" s="176"/>
      <c r="I3" s="176"/>
    </row>
    <row r="4" spans="1:19" ht="13.5" customHeight="1">
      <c r="A4" s="177" t="s">
        <v>4</v>
      </c>
      <c r="B4" s="177"/>
      <c r="C4" s="177"/>
      <c r="D4" s="177"/>
      <c r="E4" s="177"/>
      <c r="F4" s="177"/>
      <c r="G4" s="177"/>
      <c r="H4" s="177"/>
      <c r="I4" s="177"/>
      <c r="L4" s="215" t="str">
        <f>CERT!R6</f>
        <v>24EB0064ADVANCE PAYMENT BOND</v>
      </c>
      <c r="M4" s="215"/>
      <c r="N4" s="215"/>
      <c r="O4" s="215"/>
      <c r="P4" s="215"/>
      <c r="Q4" s="215"/>
    </row>
    <row r="5" spans="1:19" ht="13.5" customHeight="1">
      <c r="A5" s="198" t="s">
        <v>3</v>
      </c>
      <c r="B5" s="198"/>
      <c r="C5" s="198"/>
      <c r="D5" s="198"/>
      <c r="E5" s="198"/>
      <c r="F5" s="198"/>
      <c r="G5" s="198"/>
      <c r="H5" s="198"/>
      <c r="I5" s="198"/>
      <c r="L5" s="215"/>
      <c r="M5" s="215"/>
      <c r="N5" s="215"/>
      <c r="O5" s="215"/>
      <c r="P5" s="215"/>
      <c r="Q5" s="215"/>
    </row>
    <row r="6" spans="1:19" ht="13.5" customHeight="1">
      <c r="A6" s="197" t="s">
        <v>2</v>
      </c>
      <c r="B6" s="197"/>
      <c r="C6" s="197"/>
      <c r="D6" s="197"/>
      <c r="E6" s="197"/>
      <c r="F6" s="197"/>
      <c r="G6" s="197"/>
      <c r="H6" s="197"/>
      <c r="I6" s="197"/>
      <c r="L6" s="215"/>
      <c r="M6" s="215"/>
      <c r="N6" s="215"/>
      <c r="O6" s="215"/>
      <c r="P6" s="215"/>
      <c r="Q6" s="215"/>
      <c r="S6" s="1">
        <f>VLOOKUP(L4,EXCEL!A14:M210,8,FALSE)</f>
        <v>45336</v>
      </c>
    </row>
    <row r="7" spans="1:19" ht="13.5" customHeight="1">
      <c r="A7" s="197" t="s">
        <v>1</v>
      </c>
      <c r="B7" s="197"/>
      <c r="C7" s="197"/>
      <c r="D7" s="197"/>
      <c r="E7" s="197"/>
      <c r="F7" s="197"/>
      <c r="G7" s="197"/>
      <c r="H7" s="197"/>
      <c r="I7" s="197"/>
      <c r="L7" s="215"/>
      <c r="M7" s="215"/>
      <c r="N7" s="215"/>
      <c r="O7" s="215"/>
      <c r="P7" s="215"/>
      <c r="Q7" s="215"/>
    </row>
    <row r="8" spans="1:19" ht="13.5" customHeight="1">
      <c r="A8" s="177"/>
      <c r="B8" s="177"/>
      <c r="C8" s="177"/>
      <c r="D8" s="177"/>
      <c r="E8" s="177"/>
      <c r="F8" s="177"/>
      <c r="G8" s="177"/>
      <c r="H8" s="177"/>
      <c r="I8" s="177"/>
      <c r="L8" s="215" t="str">
        <f>CERT!M6</f>
        <v xml:space="preserve"> 5,704,017.55</v>
      </c>
      <c r="M8" s="215"/>
      <c r="N8" s="215"/>
      <c r="O8" s="215"/>
      <c r="P8" s="215"/>
      <c r="Q8" s="215"/>
    </row>
    <row r="9" spans="1:19" ht="16.5" customHeight="1">
      <c r="A9" s="220" t="s">
        <v>78</v>
      </c>
      <c r="B9" s="220"/>
      <c r="C9" s="220"/>
      <c r="D9" s="220"/>
      <c r="E9" s="220"/>
      <c r="F9" s="220"/>
      <c r="G9" s="62"/>
      <c r="H9" s="62"/>
      <c r="I9" s="62"/>
      <c r="L9" s="215"/>
      <c r="M9" s="215"/>
      <c r="N9" s="215"/>
      <c r="O9" s="215"/>
      <c r="P9" s="215"/>
      <c r="Q9" s="215"/>
    </row>
    <row r="10" spans="1:19" ht="15.75" customHeight="1">
      <c r="A10" s="62"/>
      <c r="B10" s="62"/>
      <c r="C10" s="62"/>
      <c r="D10" s="62"/>
      <c r="E10" s="62"/>
      <c r="F10" s="62"/>
      <c r="G10" s="62"/>
      <c r="H10" s="62"/>
      <c r="I10" s="62"/>
      <c r="L10" s="215"/>
      <c r="M10" s="215"/>
      <c r="N10" s="215"/>
      <c r="O10" s="215"/>
      <c r="P10" s="215"/>
      <c r="Q10" s="215"/>
    </row>
    <row r="11" spans="1:19" ht="11.25" customHeight="1">
      <c r="A11" s="63"/>
      <c r="B11" s="63"/>
      <c r="C11" s="63"/>
      <c r="D11" s="63"/>
      <c r="E11" s="63"/>
      <c r="F11" s="63"/>
      <c r="G11" s="63"/>
      <c r="H11" s="63"/>
      <c r="I11" s="63"/>
      <c r="L11" s="215"/>
      <c r="M11" s="215"/>
      <c r="N11" s="215"/>
      <c r="O11" s="215"/>
      <c r="P11" s="215"/>
      <c r="Q11" s="215"/>
    </row>
    <row r="12" spans="1:19" ht="23.25" customHeight="1">
      <c r="A12" s="221" t="str">
        <f>VLOOKUP(L4,POSITION!A2:C200,2,FALSE)</f>
        <v>LEA C. DUENAS</v>
      </c>
      <c r="B12" s="221"/>
      <c r="C12" s="221"/>
      <c r="D12" s="221"/>
      <c r="E12" s="221"/>
      <c r="F12" s="221"/>
      <c r="G12" s="63"/>
      <c r="H12" s="63"/>
      <c r="I12" s="63"/>
    </row>
    <row r="13" spans="1:19" ht="15">
      <c r="A13" s="181" t="s">
        <v>77</v>
      </c>
      <c r="B13" s="222"/>
      <c r="C13" s="222"/>
      <c r="D13" s="222"/>
      <c r="E13" s="222"/>
      <c r="F13" s="222"/>
      <c r="G13" s="64"/>
      <c r="H13" s="64"/>
      <c r="I13" s="64"/>
    </row>
    <row r="14" spans="1:19" ht="12.75" customHeight="1">
      <c r="A14" s="222"/>
      <c r="B14" s="222"/>
      <c r="C14" s="222"/>
      <c r="D14" s="222"/>
      <c r="E14" s="222"/>
      <c r="F14" s="222"/>
      <c r="G14" s="64"/>
      <c r="H14" s="64"/>
      <c r="I14" s="64"/>
    </row>
    <row r="15" spans="1:19" ht="15" hidden="1" customHeight="1">
      <c r="A15" s="222"/>
      <c r="B15" s="222"/>
      <c r="C15" s="222"/>
      <c r="D15" s="222"/>
      <c r="E15" s="222"/>
      <c r="F15" s="222"/>
      <c r="G15" s="64"/>
      <c r="H15" s="64"/>
      <c r="I15" s="64"/>
    </row>
    <row r="16" spans="1:19" ht="15" hidden="1" customHeight="1">
      <c r="A16" s="222"/>
      <c r="B16" s="222"/>
      <c r="C16" s="222"/>
      <c r="D16" s="222"/>
      <c r="E16" s="222"/>
      <c r="F16" s="222"/>
      <c r="G16" s="64"/>
      <c r="H16" s="64"/>
      <c r="I16" s="64"/>
    </row>
    <row r="17" spans="1:27" ht="18" customHeight="1">
      <c r="A17" s="222"/>
      <c r="B17" s="222"/>
      <c r="C17" s="222"/>
      <c r="D17" s="222"/>
      <c r="E17" s="222"/>
      <c r="F17" s="222"/>
      <c r="G17" s="64"/>
      <c r="H17" s="64"/>
      <c r="I17" s="64"/>
      <c r="N17" s="1" t="str">
        <f>SpellNumber(L8)</f>
        <v xml:space="preserve">Five Million Seven Hundred Four Thousand Seventeen Pesos &amp; </v>
      </c>
    </row>
    <row r="18" spans="1:27" ht="15" customHeight="1">
      <c r="A18" s="118"/>
      <c r="B18" s="118"/>
      <c r="C18" s="118"/>
      <c r="D18" s="118"/>
      <c r="E18" s="118"/>
      <c r="F18" s="118"/>
      <c r="G18" s="64"/>
      <c r="H18" s="64"/>
      <c r="I18" s="64"/>
    </row>
    <row r="19" spans="1:27" ht="15" customHeight="1">
      <c r="A19" s="64"/>
      <c r="B19" s="64"/>
      <c r="C19" s="64"/>
      <c r="D19" s="64"/>
      <c r="E19" s="64"/>
      <c r="F19" s="64"/>
      <c r="G19" s="64"/>
      <c r="H19" s="64"/>
      <c r="I19" s="64"/>
    </row>
    <row r="20" spans="1:27" ht="15" customHeight="1">
      <c r="A20" s="220" t="s">
        <v>74</v>
      </c>
      <c r="B20" s="223"/>
      <c r="C20" s="223"/>
      <c r="D20" s="223"/>
      <c r="E20" s="223"/>
      <c r="F20" s="64"/>
      <c r="G20" s="64"/>
      <c r="H20" s="64"/>
      <c r="I20" s="64"/>
    </row>
    <row r="21" spans="1:27" ht="27" customHeight="1">
      <c r="A21" s="64"/>
      <c r="B21" s="64"/>
      <c r="C21" s="64"/>
      <c r="D21" s="64"/>
      <c r="E21" s="64"/>
      <c r="F21" s="64"/>
      <c r="G21" s="64"/>
      <c r="H21" s="64"/>
      <c r="I21" s="64"/>
      <c r="N21" s="224"/>
      <c r="O21" s="224"/>
      <c r="P21" s="224"/>
      <c r="Q21" s="224"/>
      <c r="R21" s="224"/>
    </row>
    <row r="22" spans="1:27" ht="15" customHeight="1">
      <c r="A22" s="222" t="str">
        <f>"We would like to verify and confirm the validity and authenticity of the "&amp;VLOOKUP(L4,EXCEL!A14:M210,13,FALSE)&amp;" issued to "&amp;VLOOKUP(L4,EXCEL!A14:M210,3,FALSE)&amp;" for clarification purposes."</f>
        <v>We would like to verify and confirm the validity and authenticity of the ADVANCE PAYMENT BOND issued to SIXTEEN ENTERPRISES  for clarification purposes.</v>
      </c>
      <c r="B22" s="222"/>
      <c r="C22" s="222"/>
      <c r="D22" s="222"/>
      <c r="E22" s="222"/>
      <c r="F22" s="222"/>
      <c r="G22" s="222"/>
      <c r="H22" s="222"/>
      <c r="I22" s="222"/>
    </row>
    <row r="23" spans="1:27" ht="15" customHeight="1">
      <c r="A23" s="222"/>
      <c r="B23" s="222"/>
      <c r="C23" s="222"/>
      <c r="D23" s="222"/>
      <c r="E23" s="222"/>
      <c r="F23" s="222"/>
      <c r="G23" s="222"/>
      <c r="H23" s="222"/>
      <c r="I23" s="222"/>
    </row>
    <row r="24" spans="1:27" ht="14.25" customHeight="1">
      <c r="A24" s="222"/>
      <c r="B24" s="222"/>
      <c r="C24" s="222"/>
      <c r="D24" s="222"/>
      <c r="E24" s="222"/>
      <c r="F24" s="222"/>
      <c r="G24" s="222"/>
      <c r="H24" s="222"/>
      <c r="I24" s="222"/>
    </row>
    <row r="25" spans="1:27" ht="15" hidden="1">
      <c r="A25" s="65"/>
      <c r="B25" s="65"/>
      <c r="C25" s="65"/>
      <c r="D25" s="65"/>
      <c r="E25" s="65"/>
      <c r="F25" s="65"/>
      <c r="G25" s="65"/>
      <c r="H25" s="65"/>
      <c r="I25" s="65"/>
    </row>
    <row r="26" spans="1:27" s="12" customFormat="1" ht="21" customHeight="1">
      <c r="A26" s="63"/>
      <c r="B26" s="78" t="s">
        <v>53</v>
      </c>
      <c r="C26" s="217" t="str">
        <f>VLOOKUP(L4,EXCEL!A14:M210,13,FALSE)&amp;" "&amp;VLOOKUP(L4,EXCEL!A14:M210,11,FALSE)&amp;" amounting to "&amp;SpellNumber(L8)&amp;" "&amp;Sheet1!E1&amp;Sheet1!F1&amp;"/100 "&amp;TEXT(VLOOKUP(L4,EXCEL!A14:M210,6,FALSE),"(₱ #,##0.00")&amp;")"&amp;" for the project "&amp;VLOOKUP(L4,EXCEL!A14:M210,4,FALSE)&amp;" : "&amp;VLOOKUP(L4,EXCEL!A14:M210,5,FALSE)&amp;". The Bond took effect on "&amp;TEXT(VLOOKUP(L4,EXCEL!A14:M210,8,FALSE),"mmmm dd, yyyy")&amp;" and will expire on "&amp;TEXT(VLOOKUP(L4,EXCEL!A14:M210,9,FALSE),"mmmm dd, yyyy")&amp;"."</f>
        <v>ADVANCE PAYMENT BOND G (40) 001036628 amounting to Five Million Seven Hundred Four Thousand Seventeen Pesos &amp;  55/100 (₱ 5,704,017.55) for the project 24EB0064 : Construction of Flood Control Structures along Mamara River, Bagong Silang Section, Abra de Ilog, Occidental Mindoro. The Bond took effect on February 14, 2024 and will expire on February 14, 2025.</v>
      </c>
      <c r="D26" s="217"/>
      <c r="E26" s="217"/>
      <c r="F26" s="217"/>
      <c r="G26" s="217"/>
      <c r="H26" s="217"/>
      <c r="I26" s="217"/>
      <c r="N26" s="103" t="str">
        <f>VLOOKUP(L4,EXCEL!A14:M210,3,FALSE)</f>
        <v xml:space="preserve">SIXTEEN ENTERPRISES </v>
      </c>
    </row>
    <row r="27" spans="1:27" ht="15">
      <c r="A27" s="65"/>
      <c r="B27" s="65"/>
      <c r="C27" s="217"/>
      <c r="D27" s="217"/>
      <c r="E27" s="217"/>
      <c r="F27" s="217"/>
      <c r="G27" s="217"/>
      <c r="H27" s="217"/>
      <c r="I27" s="217"/>
    </row>
    <row r="28" spans="1:27" ht="15">
      <c r="A28" s="65"/>
      <c r="B28" s="65"/>
      <c r="C28" s="217"/>
      <c r="D28" s="217"/>
      <c r="E28" s="217"/>
      <c r="F28" s="217"/>
      <c r="G28" s="217"/>
      <c r="H28" s="217"/>
      <c r="I28" s="217"/>
    </row>
    <row r="29" spans="1:27" s="12" customFormat="1" ht="12.75" customHeight="1">
      <c r="A29" s="63"/>
      <c r="B29" s="63"/>
      <c r="C29" s="217"/>
      <c r="D29" s="217"/>
      <c r="E29" s="217"/>
      <c r="F29" s="217"/>
      <c r="G29" s="217"/>
      <c r="H29" s="217"/>
      <c r="I29" s="217"/>
      <c r="O29" s="79"/>
    </row>
    <row r="30" spans="1:27" ht="3.75" hidden="1" customHeight="1">
      <c r="A30" s="65"/>
      <c r="B30" s="65"/>
      <c r="C30" s="217"/>
      <c r="D30" s="217"/>
      <c r="E30" s="217"/>
      <c r="F30" s="217"/>
      <c r="G30" s="217"/>
      <c r="H30" s="217"/>
      <c r="I30" s="217"/>
      <c r="O30" s="181" t="s">
        <v>65</v>
      </c>
      <c r="P30" s="181"/>
      <c r="Q30" s="181"/>
      <c r="R30" s="181"/>
      <c r="S30" s="181" t="s">
        <v>64</v>
      </c>
      <c r="T30" s="181"/>
      <c r="U30" s="181"/>
      <c r="V30" s="181"/>
      <c r="W30" s="181"/>
      <c r="X30" s="181" t="s">
        <v>70</v>
      </c>
      <c r="Y30" s="181"/>
      <c r="Z30" s="181"/>
      <c r="AA30" s="181"/>
    </row>
    <row r="31" spans="1:27" ht="10.5" customHeight="1">
      <c r="A31" s="65"/>
      <c r="B31" s="65"/>
      <c r="C31" s="65"/>
      <c r="D31" s="65"/>
      <c r="E31" s="65"/>
      <c r="F31" s="65"/>
      <c r="G31" s="65"/>
      <c r="H31" s="65"/>
      <c r="I31" s="65"/>
      <c r="O31" s="181"/>
      <c r="P31" s="181"/>
      <c r="Q31" s="181"/>
      <c r="R31" s="181"/>
      <c r="S31" s="181"/>
      <c r="T31" s="181"/>
      <c r="U31" s="181"/>
      <c r="V31" s="181"/>
      <c r="W31" s="181"/>
      <c r="X31" s="181"/>
      <c r="Y31" s="181"/>
      <c r="Z31" s="181"/>
      <c r="AA31" s="181"/>
    </row>
    <row r="32" spans="1:27" ht="15" customHeight="1">
      <c r="A32" s="218" t="s">
        <v>61</v>
      </c>
      <c r="B32" s="218"/>
      <c r="C32" s="218"/>
      <c r="D32" s="218"/>
      <c r="E32" s="218"/>
      <c r="F32" s="218"/>
      <c r="G32" s="218"/>
      <c r="H32" s="218"/>
      <c r="I32" s="218"/>
      <c r="L32" s="216"/>
      <c r="M32" s="216"/>
      <c r="N32" s="216"/>
      <c r="O32" s="181"/>
      <c r="P32" s="181"/>
      <c r="Q32" s="181"/>
      <c r="R32" s="181"/>
      <c r="S32" s="181"/>
      <c r="T32" s="181"/>
      <c r="U32" s="181"/>
      <c r="V32" s="181"/>
      <c r="W32" s="181"/>
      <c r="X32" s="181"/>
      <c r="Y32" s="181"/>
      <c r="Z32" s="181"/>
      <c r="AA32" s="181"/>
    </row>
    <row r="33" spans="1:27" ht="15" customHeight="1">
      <c r="A33" s="218"/>
      <c r="B33" s="218"/>
      <c r="C33" s="218"/>
      <c r="D33" s="218"/>
      <c r="E33" s="218"/>
      <c r="F33" s="218"/>
      <c r="G33" s="218"/>
      <c r="H33" s="218"/>
      <c r="I33" s="218"/>
      <c r="O33" s="181"/>
      <c r="P33" s="181"/>
      <c r="Q33" s="181"/>
      <c r="R33" s="181"/>
      <c r="S33" s="181"/>
      <c r="T33" s="181"/>
      <c r="U33" s="181"/>
      <c r="V33" s="181"/>
      <c r="W33" s="181"/>
      <c r="X33" s="181"/>
      <c r="Y33" s="181"/>
      <c r="Z33" s="181"/>
      <c r="AA33" s="181"/>
    </row>
    <row r="34" spans="1:27" ht="15" customHeight="1">
      <c r="A34" s="218"/>
      <c r="B34" s="218"/>
      <c r="C34" s="218"/>
      <c r="D34" s="218"/>
      <c r="E34" s="218"/>
      <c r="F34" s="218"/>
      <c r="G34" s="218"/>
      <c r="H34" s="218"/>
      <c r="I34" s="218"/>
      <c r="O34" s="181"/>
      <c r="P34" s="181"/>
      <c r="Q34" s="181"/>
      <c r="R34" s="181"/>
      <c r="S34" s="181"/>
      <c r="T34" s="181"/>
      <c r="U34" s="181"/>
      <c r="V34" s="181"/>
      <c r="W34" s="181"/>
      <c r="X34" s="181"/>
      <c r="Y34" s="181"/>
      <c r="Z34" s="181"/>
      <c r="AA34" s="181"/>
    </row>
    <row r="35" spans="1:27" s="12" customFormat="1" ht="11.25" customHeight="1">
      <c r="A35" s="213" t="s">
        <v>60</v>
      </c>
      <c r="B35" s="213"/>
      <c r="C35" s="213"/>
      <c r="D35" s="213"/>
      <c r="E35" s="213"/>
      <c r="F35" s="213"/>
      <c r="G35" s="213"/>
      <c r="H35" s="213"/>
      <c r="I35" s="213"/>
      <c r="O35" s="181"/>
      <c r="P35" s="181"/>
      <c r="Q35" s="181"/>
      <c r="R35" s="181"/>
      <c r="S35" s="181"/>
      <c r="T35" s="181"/>
      <c r="U35" s="181"/>
      <c r="V35" s="181"/>
      <c r="W35" s="181"/>
      <c r="X35" s="181"/>
      <c r="Y35" s="181"/>
      <c r="Z35" s="181"/>
      <c r="AA35" s="181"/>
    </row>
    <row r="36" spans="1:27" s="12" customFormat="1" ht="9.75" customHeight="1">
      <c r="A36" s="213"/>
      <c r="B36" s="213"/>
      <c r="C36" s="213"/>
      <c r="D36" s="213"/>
      <c r="E36" s="213"/>
      <c r="F36" s="213"/>
      <c r="G36" s="213"/>
      <c r="H36" s="213"/>
      <c r="I36" s="213"/>
      <c r="O36" s="181"/>
      <c r="P36" s="181"/>
      <c r="Q36" s="181"/>
      <c r="R36" s="181"/>
      <c r="S36" s="181"/>
      <c r="T36" s="181"/>
      <c r="U36" s="181"/>
      <c r="V36" s="181"/>
      <c r="W36" s="181"/>
      <c r="X36" s="181"/>
      <c r="Y36" s="181"/>
      <c r="Z36" s="181"/>
      <c r="AA36" s="181"/>
    </row>
    <row r="37" spans="1:27" s="12" customFormat="1" ht="10.5" customHeight="1">
      <c r="A37" s="213"/>
      <c r="B37" s="213"/>
      <c r="C37" s="213"/>
      <c r="D37" s="213"/>
      <c r="E37" s="213"/>
      <c r="F37" s="213"/>
      <c r="G37" s="213"/>
      <c r="H37" s="213"/>
      <c r="I37" s="213"/>
      <c r="O37" s="181"/>
      <c r="P37" s="181"/>
      <c r="Q37" s="181"/>
      <c r="R37" s="181"/>
      <c r="S37" s="181"/>
      <c r="T37" s="181"/>
      <c r="U37" s="181"/>
      <c r="V37" s="181"/>
      <c r="W37" s="181"/>
      <c r="X37" s="181"/>
      <c r="Y37" s="181"/>
      <c r="Z37" s="181"/>
      <c r="AA37" s="181"/>
    </row>
    <row r="38" spans="1:27" s="12" customFormat="1" ht="3" customHeight="1">
      <c r="A38" s="77"/>
      <c r="B38" s="77"/>
      <c r="C38" s="77"/>
      <c r="D38" s="77"/>
      <c r="E38" s="77"/>
      <c r="F38" s="77"/>
      <c r="G38" s="77"/>
      <c r="H38" s="77"/>
      <c r="I38" s="77"/>
      <c r="O38" s="181"/>
      <c r="P38" s="181"/>
      <c r="Q38" s="181"/>
      <c r="R38" s="181"/>
      <c r="S38" s="181"/>
      <c r="T38" s="181"/>
      <c r="U38" s="181"/>
      <c r="V38" s="181"/>
      <c r="W38" s="181"/>
      <c r="X38" s="181"/>
      <c r="Y38" s="181"/>
      <c r="Z38" s="181"/>
      <c r="AA38" s="181"/>
    </row>
    <row r="39" spans="1:27" ht="32.25" customHeight="1">
      <c r="A39" s="213" t="s">
        <v>54</v>
      </c>
      <c r="B39" s="213"/>
      <c r="C39" s="213"/>
      <c r="D39" s="213"/>
      <c r="E39" s="213"/>
      <c r="F39" s="213"/>
      <c r="G39" s="65"/>
      <c r="H39" s="65"/>
      <c r="I39" s="65"/>
      <c r="O39" s="181"/>
      <c r="P39" s="181"/>
      <c r="Q39" s="181"/>
      <c r="R39" s="181"/>
      <c r="S39" s="181"/>
      <c r="T39" s="181"/>
      <c r="U39" s="181"/>
      <c r="V39" s="181"/>
      <c r="W39" s="181"/>
      <c r="X39" s="181"/>
      <c r="Y39" s="181"/>
      <c r="Z39" s="181"/>
      <c r="AA39" s="181"/>
    </row>
    <row r="40" spans="1:27" ht="22.5" customHeight="1">
      <c r="A40" s="219" t="s">
        <v>55</v>
      </c>
      <c r="B40" s="219"/>
      <c r="C40" s="219"/>
      <c r="D40" s="219"/>
      <c r="E40" s="219"/>
      <c r="F40" s="67"/>
      <c r="G40" s="68"/>
      <c r="H40" s="68"/>
      <c r="I40" s="67"/>
      <c r="X40" s="181"/>
      <c r="Y40" s="181"/>
      <c r="Z40" s="181"/>
      <c r="AA40" s="181"/>
    </row>
    <row r="41" spans="1:27" ht="15">
      <c r="A41" s="69"/>
      <c r="B41" s="66"/>
      <c r="C41" s="70"/>
      <c r="D41" s="70"/>
      <c r="E41" s="70"/>
      <c r="F41" s="70"/>
      <c r="G41" s="71"/>
      <c r="H41" s="71"/>
      <c r="I41" s="67"/>
    </row>
    <row r="42" spans="1:27" s="12" customFormat="1" ht="28.5" customHeight="1">
      <c r="A42" s="63"/>
      <c r="B42" s="63"/>
      <c r="C42" s="63"/>
      <c r="D42" s="63"/>
      <c r="E42" s="63"/>
      <c r="F42" s="63"/>
      <c r="G42" s="63"/>
      <c r="H42" s="63"/>
      <c r="I42" s="63"/>
    </row>
    <row r="43" spans="1:27" s="12" customFormat="1" ht="20.25" customHeight="1">
      <c r="A43" s="211" t="s">
        <v>57</v>
      </c>
      <c r="B43" s="212"/>
      <c r="C43" s="212"/>
      <c r="D43" s="212"/>
      <c r="E43" s="212"/>
      <c r="F43" s="63"/>
      <c r="G43" s="63"/>
      <c r="H43" s="63"/>
      <c r="I43" s="63"/>
    </row>
    <row r="44" spans="1:27" s="12" customFormat="1" ht="12.75" customHeight="1">
      <c r="A44" s="212"/>
      <c r="B44" s="212"/>
      <c r="C44" s="212"/>
      <c r="D44" s="212"/>
      <c r="E44" s="212"/>
      <c r="F44" s="63"/>
      <c r="G44" s="63"/>
      <c r="H44" s="63"/>
      <c r="I44" s="63"/>
    </row>
    <row r="45" spans="1:27" ht="21.75" customHeight="1">
      <c r="A45" s="63"/>
      <c r="B45" s="63"/>
      <c r="C45" s="63"/>
      <c r="D45" s="63"/>
      <c r="E45" s="63"/>
      <c r="F45" s="63"/>
      <c r="G45" s="63"/>
      <c r="H45" s="63"/>
      <c r="I45" s="63"/>
      <c r="O45" s="181" t="s">
        <v>66</v>
      </c>
      <c r="P45" s="181"/>
      <c r="Q45" s="181"/>
      <c r="R45" s="181"/>
    </row>
    <row r="46" spans="1:27" ht="12.75" customHeight="1">
      <c r="A46" s="213" t="s">
        <v>56</v>
      </c>
      <c r="B46" s="213"/>
      <c r="C46" s="213"/>
      <c r="D46" s="213"/>
      <c r="E46" s="213"/>
      <c r="F46" s="63"/>
      <c r="G46" s="63"/>
      <c r="H46" s="63"/>
      <c r="I46" s="63"/>
      <c r="O46" s="181"/>
      <c r="P46" s="181"/>
      <c r="Q46" s="181"/>
      <c r="R46" s="181"/>
    </row>
    <row r="47" spans="1:27" ht="48.75" customHeight="1">
      <c r="A47" s="63"/>
      <c r="B47" s="63"/>
      <c r="C47" s="63"/>
      <c r="D47" s="63"/>
      <c r="E47" s="17"/>
      <c r="F47" s="72"/>
      <c r="G47" s="72"/>
      <c r="H47" s="63"/>
      <c r="I47" s="63"/>
      <c r="O47" s="181"/>
      <c r="P47" s="181"/>
      <c r="Q47" s="181"/>
      <c r="R47" s="181"/>
    </row>
    <row r="48" spans="1:27" ht="12.75" customHeight="1">
      <c r="A48" s="214" t="s">
        <v>79</v>
      </c>
      <c r="B48" s="213"/>
      <c r="C48" s="213"/>
      <c r="D48" s="213"/>
      <c r="E48" s="213"/>
      <c r="F48" s="72"/>
      <c r="G48" s="72"/>
      <c r="H48" s="68"/>
      <c r="I48" s="67"/>
      <c r="O48" s="181"/>
      <c r="P48" s="181"/>
      <c r="Q48" s="181"/>
      <c r="R48" s="181"/>
    </row>
    <row r="49" spans="1:18" ht="12.75" customHeight="1">
      <c r="A49" s="213"/>
      <c r="B49" s="213"/>
      <c r="C49" s="213"/>
      <c r="D49" s="213"/>
      <c r="E49" s="213"/>
      <c r="F49" s="72"/>
      <c r="G49" s="72"/>
      <c r="H49" s="68"/>
      <c r="I49" s="67"/>
      <c r="O49" s="181"/>
      <c r="P49" s="181"/>
      <c r="Q49" s="181"/>
      <c r="R49" s="181"/>
    </row>
    <row r="50" spans="1:18" ht="0.75" customHeight="1">
      <c r="A50" s="213"/>
      <c r="B50" s="213"/>
      <c r="C50" s="213"/>
      <c r="D50" s="213"/>
      <c r="E50" s="213"/>
      <c r="F50" s="72"/>
      <c r="G50" s="72"/>
      <c r="H50" s="68"/>
      <c r="I50" s="67"/>
      <c r="O50" s="181"/>
      <c r="P50" s="181"/>
      <c r="Q50" s="181"/>
      <c r="R50" s="181"/>
    </row>
    <row r="51" spans="1:18" ht="12.75" customHeight="1">
      <c r="A51" s="73" t="s">
        <v>80</v>
      </c>
      <c r="B51" s="74"/>
      <c r="C51" s="67"/>
      <c r="D51" s="67"/>
      <c r="E51" s="67"/>
      <c r="F51" s="73"/>
      <c r="G51" s="75"/>
      <c r="H51" s="68"/>
      <c r="I51" s="67"/>
    </row>
    <row r="52" spans="1:18" ht="12.75" customHeight="1">
      <c r="A52" s="73"/>
      <c r="B52" s="74"/>
      <c r="C52" s="67"/>
      <c r="D52" s="67"/>
      <c r="E52" s="67"/>
      <c r="F52" s="73"/>
      <c r="G52" s="75"/>
      <c r="H52" s="68"/>
      <c r="I52" s="67"/>
    </row>
    <row r="53" spans="1:18" ht="15">
      <c r="A53" s="76"/>
      <c r="B53" s="76"/>
      <c r="C53" s="76"/>
      <c r="D53" s="76"/>
      <c r="E53" s="76"/>
      <c r="F53" s="76"/>
      <c r="G53" s="76"/>
      <c r="H53" s="76"/>
      <c r="I53" s="76"/>
    </row>
    <row r="54" spans="1:18" ht="15">
      <c r="A54" s="67"/>
      <c r="B54" s="67"/>
      <c r="C54" s="67"/>
      <c r="D54" s="67"/>
      <c r="E54" s="67"/>
      <c r="F54" s="67"/>
      <c r="G54" s="67"/>
      <c r="H54" s="67"/>
      <c r="I54" s="75"/>
    </row>
    <row r="55" spans="1:18" ht="15">
      <c r="A55" s="75"/>
      <c r="B55" s="75"/>
      <c r="C55" s="75"/>
      <c r="D55" s="75"/>
      <c r="E55" s="75"/>
      <c r="F55" s="75"/>
      <c r="G55" s="75"/>
      <c r="H55" s="75"/>
      <c r="I55" s="75"/>
    </row>
  </sheetData>
  <mergeCells count="29">
    <mergeCell ref="S30:W39"/>
    <mergeCell ref="O30:R39"/>
    <mergeCell ref="X30:AA40"/>
    <mergeCell ref="O45:R50"/>
    <mergeCell ref="N21:R21"/>
    <mergeCell ref="A7:I7"/>
    <mergeCell ref="A8:I8"/>
    <mergeCell ref="A1:I1"/>
    <mergeCell ref="A2:I2"/>
    <mergeCell ref="A3:I3"/>
    <mergeCell ref="A4:I4"/>
    <mergeCell ref="A5:I5"/>
    <mergeCell ref="A6:I6"/>
    <mergeCell ref="A43:E44"/>
    <mergeCell ref="A46:E46"/>
    <mergeCell ref="A48:E50"/>
    <mergeCell ref="L4:Q7"/>
    <mergeCell ref="L8:Q11"/>
    <mergeCell ref="L32:N32"/>
    <mergeCell ref="C26:I30"/>
    <mergeCell ref="A32:I34"/>
    <mergeCell ref="A35:I37"/>
    <mergeCell ref="A39:F39"/>
    <mergeCell ref="A40:E40"/>
    <mergeCell ref="A9:F9"/>
    <mergeCell ref="A12:F12"/>
    <mergeCell ref="A13:F17"/>
    <mergeCell ref="A20:E20"/>
    <mergeCell ref="A22:I24"/>
  </mergeCells>
  <printOptions horizontalCentered="1"/>
  <pageMargins left="0.74803149606299213" right="0.51181102362204722" top="0.74803149606299213" bottom="0.51181102362204722" header="0.51181102362204722" footer="0.23622047244094491"/>
  <pageSetup paperSize="9" scale="78"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L1"/>
  <sheetViews>
    <sheetView workbookViewId="0">
      <selection activeCell="E26" sqref="E26"/>
    </sheetView>
  </sheetViews>
  <sheetFormatPr defaultRowHeight="15"/>
  <cols>
    <col min="1" max="1" width="18" customWidth="1"/>
    <col min="3" max="12" width="9.140625" style="117"/>
  </cols>
  <sheetData>
    <row r="1" spans="1:6">
      <c r="A1" s="104" t="str">
        <f>TEXT(ROUND(CERT!M9,2),"#,##0.00")</f>
        <v>0.55</v>
      </c>
      <c r="C1" s="117" t="str">
        <f>MID($A1,COLUMN()-(COLUMN($C1)- 1),1)</f>
        <v>0</v>
      </c>
      <c r="D1" s="117" t="str">
        <f>MID($A1,COLUMN()-(COLUMN($C1)- 1),1)</f>
        <v>.</v>
      </c>
      <c r="E1" s="117" t="str">
        <f>MID($A1,COLUMN()-(COLUMN($C1)- 1),1)</f>
        <v>5</v>
      </c>
      <c r="F1" s="117" t="str">
        <f>MID($A1,COLUMN()-(COLUMN($C1)- 1),1)</f>
        <v>5</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pageSetUpPr fitToPage="1"/>
  </sheetPr>
  <dimension ref="A1:AR72"/>
  <sheetViews>
    <sheetView view="pageBreakPreview" zoomScale="40" zoomScaleNormal="100" zoomScaleSheetLayoutView="40" workbookViewId="0">
      <selection activeCell="E52" sqref="E52"/>
    </sheetView>
  </sheetViews>
  <sheetFormatPr defaultRowHeight="15"/>
  <cols>
    <col min="1" max="1" width="65.5703125" style="102" customWidth="1"/>
    <col min="2" max="2" width="9.140625" style="28"/>
    <col min="3" max="3" width="36.140625" style="28" customWidth="1"/>
    <col min="4" max="4" width="22" style="28" customWidth="1"/>
    <col min="5" max="5" width="105" style="28" customWidth="1"/>
    <col min="6" max="6" width="63" style="28" customWidth="1"/>
    <col min="7" max="7" width="31.7109375" style="29" customWidth="1"/>
    <col min="8" max="8" width="39.7109375" style="93" customWidth="1"/>
    <col min="9" max="9" width="54.140625" style="93" customWidth="1"/>
    <col min="10" max="10" width="18.42578125" style="87" customWidth="1"/>
    <col min="11" max="11" width="36.7109375" style="28" customWidth="1"/>
    <col min="12" max="12" width="39.85546875" style="28" customWidth="1"/>
    <col min="13" max="14" width="29.5703125" style="28" customWidth="1"/>
    <col min="15" max="16384" width="9.140625" style="28"/>
  </cols>
  <sheetData>
    <row r="1" spans="1:44" s="18" customFormat="1" ht="32.25">
      <c r="A1" s="94"/>
      <c r="B1" s="226" t="s">
        <v>6</v>
      </c>
      <c r="C1" s="226"/>
      <c r="D1" s="226"/>
      <c r="E1" s="226"/>
      <c r="F1" s="226"/>
      <c r="G1" s="226"/>
      <c r="H1" s="226"/>
      <c r="I1" s="226"/>
      <c r="J1" s="226"/>
      <c r="K1" s="226"/>
      <c r="L1" s="226"/>
      <c r="M1" s="226"/>
    </row>
    <row r="2" spans="1:44" s="18" customFormat="1" ht="32.25">
      <c r="A2" s="94"/>
      <c r="B2" s="226" t="s">
        <v>5</v>
      </c>
      <c r="C2" s="226"/>
      <c r="D2" s="226"/>
      <c r="E2" s="226"/>
      <c r="F2" s="226"/>
      <c r="G2" s="226"/>
      <c r="H2" s="226"/>
      <c r="I2" s="226"/>
      <c r="J2" s="226"/>
      <c r="K2" s="226"/>
      <c r="L2" s="226"/>
      <c r="M2" s="226"/>
      <c r="N2" s="19"/>
      <c r="O2" s="19"/>
      <c r="P2" s="19"/>
      <c r="Q2" s="19"/>
      <c r="R2" s="19"/>
      <c r="S2" s="19"/>
      <c r="T2" s="19"/>
      <c r="AE2" s="226"/>
      <c r="AF2" s="226"/>
      <c r="AG2" s="226"/>
      <c r="AH2" s="226"/>
      <c r="AI2" s="226"/>
      <c r="AJ2" s="226"/>
      <c r="AK2" s="226"/>
      <c r="AL2" s="226"/>
      <c r="AM2" s="226"/>
      <c r="AN2" s="226"/>
      <c r="AO2" s="226"/>
      <c r="AP2" s="226"/>
      <c r="AQ2" s="226"/>
      <c r="AR2" s="226"/>
    </row>
    <row r="3" spans="1:44" s="18" customFormat="1" ht="32.25">
      <c r="A3" s="94"/>
      <c r="B3" s="225" t="s">
        <v>4</v>
      </c>
      <c r="C3" s="225"/>
      <c r="D3" s="225"/>
      <c r="E3" s="225"/>
      <c r="F3" s="225"/>
      <c r="G3" s="225"/>
      <c r="H3" s="225"/>
      <c r="I3" s="225"/>
      <c r="J3" s="225"/>
      <c r="K3" s="225"/>
      <c r="L3" s="225"/>
      <c r="M3" s="225"/>
      <c r="N3" s="19"/>
      <c r="O3" s="19"/>
      <c r="P3" s="19"/>
      <c r="Q3" s="19"/>
      <c r="R3" s="19"/>
      <c r="S3" s="19"/>
      <c r="T3" s="19"/>
      <c r="AE3" s="226"/>
      <c r="AF3" s="226"/>
      <c r="AG3" s="226"/>
      <c r="AH3" s="226"/>
      <c r="AI3" s="226"/>
      <c r="AJ3" s="226"/>
      <c r="AK3" s="226"/>
      <c r="AL3" s="226"/>
      <c r="AM3" s="226"/>
      <c r="AN3" s="226"/>
      <c r="AO3" s="226"/>
      <c r="AP3" s="226"/>
      <c r="AQ3" s="226"/>
      <c r="AR3" s="226"/>
    </row>
    <row r="4" spans="1:44" s="18" customFormat="1" ht="32.25">
      <c r="A4" s="94"/>
      <c r="B4" s="225" t="s">
        <v>3</v>
      </c>
      <c r="C4" s="225"/>
      <c r="D4" s="225"/>
      <c r="E4" s="225"/>
      <c r="F4" s="225"/>
      <c r="G4" s="225"/>
      <c r="H4" s="225"/>
      <c r="I4" s="225"/>
      <c r="J4" s="225"/>
      <c r="K4" s="225"/>
      <c r="L4" s="225"/>
      <c r="M4" s="225"/>
      <c r="N4" s="20"/>
      <c r="O4" s="20"/>
      <c r="P4" s="20"/>
      <c r="Q4" s="20"/>
      <c r="R4" s="20"/>
      <c r="S4" s="20"/>
      <c r="T4" s="20"/>
      <c r="AE4" s="225"/>
      <c r="AF4" s="225"/>
      <c r="AG4" s="225"/>
      <c r="AH4" s="225"/>
      <c r="AI4" s="225"/>
      <c r="AJ4" s="225"/>
      <c r="AK4" s="225"/>
      <c r="AL4" s="225"/>
      <c r="AM4" s="225"/>
      <c r="AN4" s="225"/>
      <c r="AO4" s="225"/>
      <c r="AP4" s="225"/>
      <c r="AQ4" s="225"/>
      <c r="AR4" s="225"/>
    </row>
    <row r="5" spans="1:44" s="18" customFormat="1" ht="32.25">
      <c r="A5" s="94"/>
      <c r="B5" s="226" t="s">
        <v>2</v>
      </c>
      <c r="C5" s="226"/>
      <c r="D5" s="226"/>
      <c r="E5" s="226"/>
      <c r="F5" s="226"/>
      <c r="G5" s="226"/>
      <c r="H5" s="226"/>
      <c r="I5" s="226"/>
      <c r="J5" s="226"/>
      <c r="K5" s="226"/>
      <c r="L5" s="226"/>
      <c r="M5" s="226"/>
      <c r="N5" s="20"/>
      <c r="O5" s="20"/>
      <c r="P5" s="20"/>
      <c r="Q5" s="20"/>
      <c r="R5" s="20"/>
      <c r="S5" s="20"/>
      <c r="T5" s="20"/>
      <c r="AE5" s="225"/>
      <c r="AF5" s="225"/>
      <c r="AG5" s="225"/>
      <c r="AH5" s="225"/>
      <c r="AI5" s="225"/>
      <c r="AJ5" s="225"/>
      <c r="AK5" s="225"/>
      <c r="AL5" s="225"/>
      <c r="AM5" s="225"/>
      <c r="AN5" s="225"/>
      <c r="AO5" s="225"/>
      <c r="AP5" s="225"/>
      <c r="AQ5" s="225"/>
      <c r="AR5" s="225"/>
    </row>
    <row r="6" spans="1:44" s="18" customFormat="1" ht="32.25">
      <c r="A6" s="94"/>
      <c r="B6" s="226" t="s">
        <v>1</v>
      </c>
      <c r="C6" s="226"/>
      <c r="D6" s="226"/>
      <c r="E6" s="226"/>
      <c r="F6" s="226"/>
      <c r="G6" s="226"/>
      <c r="H6" s="226"/>
      <c r="I6" s="226"/>
      <c r="J6" s="226"/>
      <c r="K6" s="226"/>
      <c r="L6" s="226"/>
      <c r="M6" s="226"/>
      <c r="N6" s="20"/>
      <c r="O6" s="20"/>
      <c r="P6" s="20"/>
      <c r="Q6" s="20"/>
      <c r="R6" s="20"/>
      <c r="S6" s="20"/>
      <c r="T6" s="20"/>
      <c r="AE6" s="226"/>
      <c r="AF6" s="226"/>
      <c r="AG6" s="226"/>
      <c r="AH6" s="226"/>
      <c r="AI6" s="226"/>
      <c r="AJ6" s="226"/>
      <c r="AK6" s="226"/>
      <c r="AL6" s="226"/>
      <c r="AM6" s="226"/>
      <c r="AN6" s="226"/>
      <c r="AO6" s="226"/>
      <c r="AP6" s="226"/>
      <c r="AQ6" s="226"/>
      <c r="AR6" s="226"/>
    </row>
    <row r="7" spans="1:44" s="18" customFormat="1" ht="32.25">
      <c r="A7" s="94"/>
      <c r="B7" s="21"/>
      <c r="C7" s="149"/>
      <c r="D7" s="21"/>
      <c r="E7" s="149"/>
      <c r="F7" s="149"/>
      <c r="G7" s="149"/>
      <c r="H7" s="88"/>
      <c r="I7" s="88"/>
      <c r="J7" s="80"/>
      <c r="K7" s="58"/>
      <c r="L7" s="58"/>
      <c r="M7" s="149"/>
      <c r="N7" s="20"/>
      <c r="O7" s="20"/>
      <c r="P7" s="20"/>
      <c r="Q7" s="20"/>
      <c r="R7" s="20"/>
      <c r="S7" s="20"/>
      <c r="T7" s="20"/>
      <c r="AE7" s="226"/>
      <c r="AF7" s="226"/>
      <c r="AG7" s="226"/>
      <c r="AH7" s="226"/>
      <c r="AI7" s="226"/>
      <c r="AJ7" s="226"/>
      <c r="AK7" s="226"/>
      <c r="AL7" s="226"/>
      <c r="AM7" s="226"/>
      <c r="AN7" s="226"/>
      <c r="AO7" s="226"/>
      <c r="AP7" s="226"/>
      <c r="AQ7" s="226"/>
      <c r="AR7" s="226"/>
    </row>
    <row r="8" spans="1:44" s="18" customFormat="1" ht="32.25">
      <c r="A8" s="94"/>
      <c r="B8" s="21"/>
      <c r="C8" s="149"/>
      <c r="D8" s="21"/>
      <c r="E8" s="149"/>
      <c r="F8" s="149"/>
      <c r="G8" s="149"/>
      <c r="H8" s="88"/>
      <c r="I8" s="88"/>
      <c r="J8" s="80"/>
      <c r="K8" s="58"/>
      <c r="L8" s="58"/>
      <c r="M8" s="149"/>
      <c r="N8" s="23"/>
      <c r="O8" s="23"/>
      <c r="P8" s="23"/>
      <c r="Q8" s="23"/>
      <c r="R8" s="23"/>
      <c r="S8" s="23"/>
      <c r="T8" s="23"/>
      <c r="AE8" s="21"/>
      <c r="AF8" s="149"/>
      <c r="AG8" s="21"/>
      <c r="AH8" s="149"/>
      <c r="AI8" s="149"/>
      <c r="AJ8" s="149"/>
      <c r="AK8" s="149"/>
      <c r="AL8" s="149"/>
      <c r="AM8" s="58"/>
      <c r="AN8" s="58"/>
      <c r="AO8" s="58"/>
      <c r="AP8" s="149"/>
      <c r="AQ8" s="149"/>
      <c r="AR8" s="149"/>
    </row>
    <row r="9" spans="1:44" s="25" customFormat="1" ht="32.25">
      <c r="A9" s="94"/>
      <c r="B9" s="225" t="s">
        <v>13</v>
      </c>
      <c r="C9" s="225"/>
      <c r="D9" s="225"/>
      <c r="E9" s="225"/>
      <c r="F9" s="225"/>
      <c r="G9" s="225"/>
      <c r="H9" s="225"/>
      <c r="I9" s="225"/>
      <c r="J9" s="225"/>
      <c r="K9" s="225"/>
      <c r="L9" s="225"/>
      <c r="M9" s="225"/>
      <c r="N9" s="24"/>
      <c r="O9" s="24"/>
      <c r="P9" s="24"/>
      <c r="Q9" s="24"/>
      <c r="R9" s="24"/>
      <c r="S9" s="24"/>
      <c r="T9" s="24"/>
      <c r="AE9" s="21"/>
      <c r="AF9" s="149"/>
      <c r="AG9" s="21"/>
      <c r="AH9" s="149"/>
      <c r="AI9" s="149"/>
      <c r="AJ9" s="149"/>
      <c r="AK9" s="149"/>
      <c r="AL9" s="149"/>
      <c r="AM9" s="58"/>
      <c r="AN9" s="58"/>
      <c r="AO9" s="58"/>
      <c r="AP9" s="149"/>
      <c r="AQ9" s="149"/>
      <c r="AR9" s="149"/>
    </row>
    <row r="10" spans="1:44" s="25" customFormat="1" ht="32.25">
      <c r="A10" s="94"/>
      <c r="B10" s="225" t="s">
        <v>14</v>
      </c>
      <c r="C10" s="225"/>
      <c r="D10" s="225"/>
      <c r="E10" s="225"/>
      <c r="F10" s="225"/>
      <c r="G10" s="225"/>
      <c r="H10" s="225"/>
      <c r="I10" s="225"/>
      <c r="J10" s="225"/>
      <c r="K10" s="225"/>
      <c r="L10" s="225"/>
      <c r="M10" s="225"/>
      <c r="N10" s="24"/>
      <c r="O10" s="24"/>
      <c r="P10" s="24"/>
      <c r="Q10" s="24"/>
      <c r="R10" s="24"/>
      <c r="S10" s="24"/>
      <c r="T10" s="24"/>
      <c r="AE10" s="225"/>
      <c r="AF10" s="225"/>
      <c r="AG10" s="225"/>
      <c r="AH10" s="225"/>
      <c r="AI10" s="225"/>
      <c r="AJ10" s="225"/>
      <c r="AK10" s="225"/>
      <c r="AL10" s="225"/>
      <c r="AM10" s="225"/>
      <c r="AN10" s="225"/>
      <c r="AO10" s="225"/>
      <c r="AP10" s="225"/>
      <c r="AQ10" s="225"/>
      <c r="AR10" s="225"/>
    </row>
    <row r="11" spans="1:44" s="18" customFormat="1" ht="14.25" customHeight="1">
      <c r="A11" s="94"/>
      <c r="B11" s="60"/>
      <c r="C11" s="60"/>
      <c r="D11" s="60"/>
      <c r="E11" s="60"/>
      <c r="F11" s="60"/>
      <c r="G11" s="60"/>
      <c r="H11" s="89"/>
      <c r="I11" s="89"/>
      <c r="J11" s="81"/>
      <c r="K11" s="60"/>
      <c r="L11" s="60"/>
      <c r="M11" s="60"/>
      <c r="N11" s="19"/>
      <c r="O11" s="19"/>
      <c r="P11" s="19"/>
      <c r="Q11" s="19"/>
      <c r="R11" s="19"/>
      <c r="S11" s="19"/>
      <c r="T11" s="19"/>
      <c r="AE11" s="225"/>
      <c r="AF11" s="225"/>
      <c r="AG11" s="225"/>
      <c r="AH11" s="225"/>
      <c r="AI11" s="225"/>
      <c r="AJ11" s="225"/>
      <c r="AK11" s="225"/>
      <c r="AL11" s="225"/>
      <c r="AM11" s="225"/>
      <c r="AN11" s="225"/>
      <c r="AO11" s="225"/>
      <c r="AP11" s="225"/>
      <c r="AQ11" s="225"/>
      <c r="AR11" s="225"/>
    </row>
    <row r="12" spans="1:44" ht="15.75" customHeight="1" thickBot="1">
      <c r="A12" s="94"/>
      <c r="B12" s="60"/>
      <c r="C12" s="60"/>
      <c r="D12" s="60"/>
      <c r="E12" s="60"/>
      <c r="F12" s="60"/>
      <c r="G12" s="60"/>
      <c r="H12" s="89"/>
      <c r="I12" s="89"/>
      <c r="J12" s="81"/>
      <c r="K12" s="60"/>
      <c r="L12" s="60"/>
      <c r="M12" s="60"/>
      <c r="AE12" s="26"/>
      <c r="AF12" s="27"/>
      <c r="AG12" s="26"/>
      <c r="AH12" s="27"/>
      <c r="AI12" s="27"/>
      <c r="AJ12" s="27"/>
      <c r="AK12" s="27"/>
      <c r="AL12" s="27"/>
      <c r="AM12" s="59"/>
      <c r="AN12" s="59"/>
      <c r="AO12" s="59"/>
      <c r="AP12" s="27"/>
      <c r="AQ12" s="27"/>
      <c r="AR12" s="27"/>
    </row>
    <row r="13" spans="1:44" s="34" customFormat="1" ht="87" customHeight="1" thickBot="1">
      <c r="A13" s="95"/>
      <c r="B13" s="61" t="s">
        <v>15</v>
      </c>
      <c r="C13" s="30" t="s">
        <v>16</v>
      </c>
      <c r="D13" s="31" t="s">
        <v>17</v>
      </c>
      <c r="E13" s="31" t="s">
        <v>18</v>
      </c>
      <c r="F13" s="32" t="s">
        <v>19</v>
      </c>
      <c r="G13" s="30" t="s">
        <v>20</v>
      </c>
      <c r="H13" s="90" t="s">
        <v>21</v>
      </c>
      <c r="I13" s="91" t="s">
        <v>22</v>
      </c>
      <c r="J13" s="82" t="s">
        <v>23</v>
      </c>
      <c r="K13" s="31" t="s">
        <v>24</v>
      </c>
      <c r="L13" s="31" t="s">
        <v>25</v>
      </c>
      <c r="M13" s="33" t="s">
        <v>26</v>
      </c>
      <c r="AE13" s="28"/>
      <c r="AF13" s="28"/>
      <c r="AG13" s="28"/>
      <c r="AH13" s="28"/>
      <c r="AI13" s="28"/>
      <c r="AJ13" s="28"/>
      <c r="AK13" s="28"/>
      <c r="AL13" s="29"/>
      <c r="AM13" s="57"/>
      <c r="AN13" s="57"/>
      <c r="AO13" s="57"/>
      <c r="AP13" s="28"/>
      <c r="AQ13" s="28"/>
      <c r="AR13" s="28"/>
    </row>
    <row r="14" spans="1:44" ht="102" customHeight="1">
      <c r="A14" s="96" t="str">
        <f t="shared" ref="A14:A69" si="0">D14&amp;M14</f>
        <v>22EB0088RETENTION BOND</v>
      </c>
      <c r="B14" s="136">
        <v>1</v>
      </c>
      <c r="C14" s="42" t="s">
        <v>75</v>
      </c>
      <c r="D14" s="36" t="s">
        <v>154</v>
      </c>
      <c r="E14" s="37" t="s">
        <v>155</v>
      </c>
      <c r="F14" s="38">
        <v>1148213.02</v>
      </c>
      <c r="G14" s="39">
        <v>44858</v>
      </c>
      <c r="H14" s="39">
        <v>44858</v>
      </c>
      <c r="I14" s="39">
        <v>45223</v>
      </c>
      <c r="J14" s="83" t="s">
        <v>30</v>
      </c>
      <c r="K14" s="40" t="s">
        <v>519</v>
      </c>
      <c r="L14" s="41" t="s">
        <v>28</v>
      </c>
      <c r="M14" s="35" t="s">
        <v>33</v>
      </c>
    </row>
    <row r="15" spans="1:44" ht="102" customHeight="1">
      <c r="A15" s="96" t="str">
        <f t="shared" si="0"/>
        <v>21EB0048RETENTION BOND</v>
      </c>
      <c r="B15" s="136">
        <v>1</v>
      </c>
      <c r="C15" s="42" t="s">
        <v>398</v>
      </c>
      <c r="D15" s="36" t="s">
        <v>520</v>
      </c>
      <c r="E15" s="37" t="s">
        <v>521</v>
      </c>
      <c r="F15" s="38">
        <v>7044141.1699999999</v>
      </c>
      <c r="G15" s="39">
        <v>44858</v>
      </c>
      <c r="H15" s="39">
        <v>44858</v>
      </c>
      <c r="I15" s="39">
        <v>45223</v>
      </c>
      <c r="J15" s="83" t="s">
        <v>30</v>
      </c>
      <c r="K15" s="40" t="s">
        <v>522</v>
      </c>
      <c r="L15" s="41" t="s">
        <v>28</v>
      </c>
      <c r="M15" s="35" t="s">
        <v>33</v>
      </c>
    </row>
    <row r="16" spans="1:44" ht="102" customHeight="1">
      <c r="A16" s="96" t="str">
        <f t="shared" si="0"/>
        <v>22EB0023RETENTION BOND</v>
      </c>
      <c r="B16" s="136">
        <v>3</v>
      </c>
      <c r="C16" s="42" t="s">
        <v>72</v>
      </c>
      <c r="D16" s="36" t="s">
        <v>523</v>
      </c>
      <c r="E16" s="37" t="s">
        <v>524</v>
      </c>
      <c r="F16" s="38">
        <v>775214.29</v>
      </c>
      <c r="G16" s="39">
        <v>44858</v>
      </c>
      <c r="H16" s="39">
        <v>44858</v>
      </c>
      <c r="I16" s="39">
        <v>45223</v>
      </c>
      <c r="J16" s="83" t="s">
        <v>30</v>
      </c>
      <c r="K16" s="40" t="s">
        <v>525</v>
      </c>
      <c r="L16" s="41" t="s">
        <v>28</v>
      </c>
      <c r="M16" s="35" t="s">
        <v>33</v>
      </c>
    </row>
    <row r="17" spans="1:13" ht="102" customHeight="1">
      <c r="A17" s="96" t="str">
        <f t="shared" si="0"/>
        <v>22EB0071RETENTION BOND</v>
      </c>
      <c r="B17" s="136">
        <v>3</v>
      </c>
      <c r="C17" s="42" t="s">
        <v>43</v>
      </c>
      <c r="D17" s="36" t="s">
        <v>526</v>
      </c>
      <c r="E17" s="37" t="s">
        <v>527</v>
      </c>
      <c r="F17" s="38">
        <v>293926.92</v>
      </c>
      <c r="G17" s="39">
        <v>44858</v>
      </c>
      <c r="H17" s="39">
        <v>44858</v>
      </c>
      <c r="I17" s="39">
        <v>45223</v>
      </c>
      <c r="J17" s="83" t="s">
        <v>30</v>
      </c>
      <c r="K17" s="40" t="s">
        <v>528</v>
      </c>
      <c r="L17" s="41" t="s">
        <v>28</v>
      </c>
      <c r="M17" s="35" t="s">
        <v>33</v>
      </c>
    </row>
    <row r="18" spans="1:13" ht="102" customHeight="1">
      <c r="A18" s="96" t="str">
        <f t="shared" si="0"/>
        <v>22EB0087RETENTION BOND</v>
      </c>
      <c r="B18" s="136">
        <v>3</v>
      </c>
      <c r="C18" s="42" t="s">
        <v>43</v>
      </c>
      <c r="D18" s="36" t="s">
        <v>151</v>
      </c>
      <c r="E18" s="37" t="s">
        <v>152</v>
      </c>
      <c r="F18" s="38">
        <v>713381.46</v>
      </c>
      <c r="G18" s="39">
        <v>44858</v>
      </c>
      <c r="H18" s="39">
        <v>44858</v>
      </c>
      <c r="I18" s="39">
        <v>45223</v>
      </c>
      <c r="J18" s="83" t="s">
        <v>30</v>
      </c>
      <c r="K18" s="40" t="s">
        <v>529</v>
      </c>
      <c r="L18" s="41" t="s">
        <v>28</v>
      </c>
      <c r="M18" s="35" t="s">
        <v>33</v>
      </c>
    </row>
    <row r="19" spans="1:13" s="43" customFormat="1" ht="102" customHeight="1">
      <c r="A19" s="96" t="str">
        <f t="shared" si="0"/>
        <v>22EB0086RETENTION BOND</v>
      </c>
      <c r="B19" s="136">
        <v>6</v>
      </c>
      <c r="C19" s="42" t="s">
        <v>166</v>
      </c>
      <c r="D19" s="36" t="s">
        <v>167</v>
      </c>
      <c r="E19" s="37" t="s">
        <v>168</v>
      </c>
      <c r="F19" s="38">
        <v>608592.81000000006</v>
      </c>
      <c r="G19" s="39">
        <v>44858</v>
      </c>
      <c r="H19" s="39">
        <v>44858</v>
      </c>
      <c r="I19" s="39">
        <v>45223</v>
      </c>
      <c r="J19" s="83" t="s">
        <v>30</v>
      </c>
      <c r="K19" s="40" t="s">
        <v>530</v>
      </c>
      <c r="L19" s="41" t="s">
        <v>28</v>
      </c>
      <c r="M19" s="35" t="s">
        <v>33</v>
      </c>
    </row>
    <row r="20" spans="1:13" s="43" customFormat="1" ht="102" customHeight="1">
      <c r="A20" s="96" t="str">
        <f t="shared" si="0"/>
        <v>21EB0122RETENTION BOND</v>
      </c>
      <c r="B20" s="136">
        <v>7</v>
      </c>
      <c r="C20" s="42" t="s">
        <v>72</v>
      </c>
      <c r="D20" s="36" t="s">
        <v>160</v>
      </c>
      <c r="E20" s="37" t="s">
        <v>161</v>
      </c>
      <c r="F20" s="38">
        <v>679771.79</v>
      </c>
      <c r="G20" s="39">
        <v>44858</v>
      </c>
      <c r="H20" s="39">
        <v>44858</v>
      </c>
      <c r="I20" s="39">
        <v>45223</v>
      </c>
      <c r="J20" s="83" t="s">
        <v>30</v>
      </c>
      <c r="K20" s="40" t="s">
        <v>531</v>
      </c>
      <c r="L20" s="41" t="s">
        <v>28</v>
      </c>
      <c r="M20" s="35" t="s">
        <v>33</v>
      </c>
    </row>
    <row r="21" spans="1:13" s="43" customFormat="1" ht="102" customHeight="1">
      <c r="A21" s="96" t="str">
        <f t="shared" si="0"/>
        <v>21EB0140RETENTION BOND</v>
      </c>
      <c r="B21" s="136">
        <v>8</v>
      </c>
      <c r="C21" s="42" t="s">
        <v>280</v>
      </c>
      <c r="D21" s="36" t="s">
        <v>532</v>
      </c>
      <c r="E21" s="37" t="s">
        <v>533</v>
      </c>
      <c r="F21" s="38">
        <v>989971.84</v>
      </c>
      <c r="G21" s="39">
        <v>44854</v>
      </c>
      <c r="H21" s="39">
        <v>44854</v>
      </c>
      <c r="I21" s="39">
        <v>45219</v>
      </c>
      <c r="J21" s="83" t="s">
        <v>30</v>
      </c>
      <c r="K21" s="40" t="s">
        <v>534</v>
      </c>
      <c r="L21" s="41" t="s">
        <v>28</v>
      </c>
      <c r="M21" s="35" t="s">
        <v>33</v>
      </c>
    </row>
    <row r="22" spans="1:13" s="43" customFormat="1" ht="102" customHeight="1">
      <c r="A22" s="96" t="str">
        <f t="shared" si="0"/>
        <v>22EB0109RETENTION BOND</v>
      </c>
      <c r="B22" s="136">
        <v>9</v>
      </c>
      <c r="C22" s="42" t="s">
        <v>44</v>
      </c>
      <c r="D22" s="36" t="s">
        <v>461</v>
      </c>
      <c r="E22" s="37" t="s">
        <v>535</v>
      </c>
      <c r="F22" s="38">
        <v>361002.1</v>
      </c>
      <c r="G22" s="39">
        <v>44851</v>
      </c>
      <c r="H22" s="39">
        <v>44851</v>
      </c>
      <c r="I22" s="39">
        <v>45216</v>
      </c>
      <c r="J22" s="83" t="s">
        <v>30</v>
      </c>
      <c r="K22" s="40" t="s">
        <v>536</v>
      </c>
      <c r="L22" s="41" t="s">
        <v>28</v>
      </c>
      <c r="M22" s="35" t="s">
        <v>33</v>
      </c>
    </row>
    <row r="23" spans="1:13" s="148" customFormat="1" ht="209.25" customHeight="1">
      <c r="A23" s="139" t="str">
        <f t="shared" si="0"/>
        <v>22EB0113CONTRACTOR'S ALL RISK POLICY</v>
      </c>
      <c r="B23" s="140">
        <v>10</v>
      </c>
      <c r="C23" s="141" t="s">
        <v>44</v>
      </c>
      <c r="D23" s="137" t="s">
        <v>537</v>
      </c>
      <c r="E23" s="142" t="s">
        <v>538</v>
      </c>
      <c r="F23" s="143">
        <v>2174990.13</v>
      </c>
      <c r="G23" s="144">
        <v>44840</v>
      </c>
      <c r="H23" s="144">
        <v>44840</v>
      </c>
      <c r="I23" s="144">
        <v>45205</v>
      </c>
      <c r="J23" s="145" t="s">
        <v>30</v>
      </c>
      <c r="K23" s="146" t="s">
        <v>539</v>
      </c>
      <c r="L23" s="147" t="s">
        <v>69</v>
      </c>
      <c r="M23" s="138" t="s">
        <v>31</v>
      </c>
    </row>
    <row r="24" spans="1:13" s="148" customFormat="1" ht="209.25" customHeight="1">
      <c r="A24" s="139" t="str">
        <f t="shared" si="0"/>
        <v>22EB0113PERFORMANCE BOND</v>
      </c>
      <c r="B24" s="140">
        <v>10</v>
      </c>
      <c r="C24" s="141" t="s">
        <v>44</v>
      </c>
      <c r="D24" s="137" t="s">
        <v>537</v>
      </c>
      <c r="E24" s="142" t="s">
        <v>538</v>
      </c>
      <c r="F24" s="143">
        <v>652497.03</v>
      </c>
      <c r="G24" s="144">
        <v>44825</v>
      </c>
      <c r="H24" s="144">
        <v>44825</v>
      </c>
      <c r="I24" s="144">
        <v>45556</v>
      </c>
      <c r="J24" s="145" t="s">
        <v>27</v>
      </c>
      <c r="K24" s="146" t="s">
        <v>540</v>
      </c>
      <c r="L24" s="147" t="s">
        <v>69</v>
      </c>
      <c r="M24" s="138" t="s">
        <v>40</v>
      </c>
    </row>
    <row r="25" spans="1:13" s="148" customFormat="1" ht="209.25" customHeight="1">
      <c r="A25" s="139" t="str">
        <f t="shared" si="0"/>
        <v>22EB0113ADVANCE PAYMENT BOND</v>
      </c>
      <c r="B25" s="140">
        <v>10</v>
      </c>
      <c r="C25" s="141" t="s">
        <v>44</v>
      </c>
      <c r="D25" s="137" t="s">
        <v>537</v>
      </c>
      <c r="E25" s="142" t="s">
        <v>538</v>
      </c>
      <c r="F25" s="143">
        <v>326248.52</v>
      </c>
      <c r="G25" s="144">
        <v>44840</v>
      </c>
      <c r="H25" s="144">
        <v>44840</v>
      </c>
      <c r="I25" s="144">
        <v>45205</v>
      </c>
      <c r="J25" s="145" t="s">
        <v>30</v>
      </c>
      <c r="K25" s="146" t="s">
        <v>541</v>
      </c>
      <c r="L25" s="147" t="s">
        <v>69</v>
      </c>
      <c r="M25" s="138" t="s">
        <v>34</v>
      </c>
    </row>
    <row r="26" spans="1:13" s="43" customFormat="1" ht="102" customHeight="1">
      <c r="A26" s="96" t="str">
        <f t="shared" si="0"/>
        <v>22EB0072RETENTION BOND</v>
      </c>
      <c r="B26" s="136">
        <v>13</v>
      </c>
      <c r="C26" s="42" t="s">
        <v>453</v>
      </c>
      <c r="D26" s="36" t="s">
        <v>542</v>
      </c>
      <c r="E26" s="37" t="s">
        <v>543</v>
      </c>
      <c r="F26" s="38">
        <v>3429098.45</v>
      </c>
      <c r="G26" s="39">
        <v>44859</v>
      </c>
      <c r="H26" s="39">
        <v>44859</v>
      </c>
      <c r="I26" s="39">
        <v>45224</v>
      </c>
      <c r="J26" s="83" t="s">
        <v>30</v>
      </c>
      <c r="K26" s="40" t="s">
        <v>544</v>
      </c>
      <c r="L26" s="41" t="s">
        <v>28</v>
      </c>
      <c r="M26" s="35" t="s">
        <v>33</v>
      </c>
    </row>
    <row r="27" spans="1:13" s="43" customFormat="1" ht="102" customHeight="1">
      <c r="A27" s="96" t="str">
        <f t="shared" si="0"/>
        <v>22EB0066RETENTION BOND</v>
      </c>
      <c r="B27" s="136">
        <v>14</v>
      </c>
      <c r="C27" s="42" t="s">
        <v>41</v>
      </c>
      <c r="D27" s="36" t="s">
        <v>545</v>
      </c>
      <c r="E27" s="37" t="s">
        <v>546</v>
      </c>
      <c r="F27" s="38">
        <v>692858.59</v>
      </c>
      <c r="G27" s="39">
        <v>44859</v>
      </c>
      <c r="H27" s="39">
        <v>44859</v>
      </c>
      <c r="I27" s="39">
        <v>45224</v>
      </c>
      <c r="J27" s="83" t="s">
        <v>30</v>
      </c>
      <c r="K27" s="40" t="s">
        <v>547</v>
      </c>
      <c r="L27" s="41" t="s">
        <v>28</v>
      </c>
      <c r="M27" s="35" t="s">
        <v>33</v>
      </c>
    </row>
    <row r="28" spans="1:13" s="43" customFormat="1" ht="102" customHeight="1">
      <c r="A28" s="96" t="str">
        <f t="shared" si="0"/>
        <v>22EB0060RETENTION BOND</v>
      </c>
      <c r="B28" s="136">
        <v>15</v>
      </c>
      <c r="C28" s="42" t="s">
        <v>426</v>
      </c>
      <c r="D28" s="36" t="s">
        <v>548</v>
      </c>
      <c r="E28" s="37" t="s">
        <v>549</v>
      </c>
      <c r="F28" s="38">
        <v>494858.98</v>
      </c>
      <c r="G28" s="39">
        <v>44860</v>
      </c>
      <c r="H28" s="39">
        <v>44860</v>
      </c>
      <c r="I28" s="39">
        <v>45225</v>
      </c>
      <c r="J28" s="83" t="s">
        <v>30</v>
      </c>
      <c r="K28" s="40" t="s">
        <v>550</v>
      </c>
      <c r="L28" s="41" t="s">
        <v>28</v>
      </c>
      <c r="M28" s="35" t="s">
        <v>33</v>
      </c>
    </row>
    <row r="29" spans="1:13" s="43" customFormat="1" ht="102" customHeight="1">
      <c r="A29" s="96" t="str">
        <f t="shared" si="0"/>
        <v>22EB0091RETENTION BOND</v>
      </c>
      <c r="B29" s="136">
        <v>16</v>
      </c>
      <c r="C29" s="42" t="s">
        <v>72</v>
      </c>
      <c r="D29" s="36" t="s">
        <v>117</v>
      </c>
      <c r="E29" s="37" t="s">
        <v>551</v>
      </c>
      <c r="F29" s="38">
        <v>788400.5</v>
      </c>
      <c r="G29" s="39">
        <v>44861</v>
      </c>
      <c r="H29" s="39">
        <v>44861</v>
      </c>
      <c r="I29" s="39">
        <v>45226</v>
      </c>
      <c r="J29" s="83" t="s">
        <v>30</v>
      </c>
      <c r="K29" s="40" t="s">
        <v>552</v>
      </c>
      <c r="L29" s="41" t="s">
        <v>35</v>
      </c>
      <c r="M29" s="35" t="s">
        <v>33</v>
      </c>
    </row>
    <row r="30" spans="1:13" s="43" customFormat="1" ht="102" customHeight="1">
      <c r="A30" s="96" t="str">
        <f t="shared" si="0"/>
        <v>22EB0024RETENTION BOND</v>
      </c>
      <c r="B30" s="136">
        <v>17</v>
      </c>
      <c r="C30" s="42" t="s">
        <v>72</v>
      </c>
      <c r="D30" s="36" t="s">
        <v>553</v>
      </c>
      <c r="E30" s="37" t="s">
        <v>554</v>
      </c>
      <c r="F30" s="38">
        <v>266560</v>
      </c>
      <c r="G30" s="39">
        <v>44861</v>
      </c>
      <c r="H30" s="39">
        <v>44861</v>
      </c>
      <c r="I30" s="39">
        <v>45226</v>
      </c>
      <c r="J30" s="83" t="s">
        <v>30</v>
      </c>
      <c r="K30" s="40" t="s">
        <v>555</v>
      </c>
      <c r="L30" s="41" t="s">
        <v>35</v>
      </c>
      <c r="M30" s="35" t="s">
        <v>33</v>
      </c>
    </row>
    <row r="31" spans="1:13" s="43" customFormat="1" ht="102" customHeight="1">
      <c r="A31" s="96" t="str">
        <f t="shared" si="0"/>
        <v>21EB0159RETENTION BOND</v>
      </c>
      <c r="B31" s="136">
        <v>18</v>
      </c>
      <c r="C31" s="42" t="s">
        <v>556</v>
      </c>
      <c r="D31" s="36" t="s">
        <v>557</v>
      </c>
      <c r="E31" s="37" t="s">
        <v>558</v>
      </c>
      <c r="F31" s="38">
        <v>259979.02</v>
      </c>
      <c r="G31" s="39">
        <v>44860</v>
      </c>
      <c r="H31" s="39">
        <v>44860</v>
      </c>
      <c r="I31" s="39">
        <v>45225</v>
      </c>
      <c r="J31" s="83" t="s">
        <v>30</v>
      </c>
      <c r="K31" s="40" t="s">
        <v>559</v>
      </c>
      <c r="L31" s="41" t="s">
        <v>28</v>
      </c>
      <c r="M31" s="35" t="s">
        <v>33</v>
      </c>
    </row>
    <row r="32" spans="1:13" ht="102" customHeight="1">
      <c r="A32" s="96" t="str">
        <f t="shared" si="0"/>
        <v>22EB0115CONTRACTOR'S ALL RISK POLICY</v>
      </c>
      <c r="B32" s="136">
        <v>19</v>
      </c>
      <c r="C32" s="42" t="s">
        <v>560</v>
      </c>
      <c r="D32" s="36" t="s">
        <v>561</v>
      </c>
      <c r="E32" s="37" t="s">
        <v>562</v>
      </c>
      <c r="F32" s="38">
        <v>4383751.54</v>
      </c>
      <c r="G32" s="39">
        <v>44887</v>
      </c>
      <c r="H32" s="39">
        <v>44887</v>
      </c>
      <c r="I32" s="39">
        <v>45252</v>
      </c>
      <c r="J32" s="83" t="s">
        <v>30</v>
      </c>
      <c r="K32" s="40" t="s">
        <v>563</v>
      </c>
      <c r="L32" s="41" t="s">
        <v>69</v>
      </c>
      <c r="M32" s="35" t="s">
        <v>31</v>
      </c>
    </row>
    <row r="33" spans="1:13" ht="102" customHeight="1">
      <c r="A33" s="96" t="str">
        <f t="shared" si="0"/>
        <v>22EB0115PERFORMANCE BOND</v>
      </c>
      <c r="B33" s="136">
        <v>19</v>
      </c>
      <c r="C33" s="42" t="s">
        <v>560</v>
      </c>
      <c r="D33" s="36" t="s">
        <v>561</v>
      </c>
      <c r="E33" s="37" t="s">
        <v>562</v>
      </c>
      <c r="F33" s="38">
        <v>1315125.46</v>
      </c>
      <c r="G33" s="39">
        <v>44869</v>
      </c>
      <c r="H33" s="39">
        <v>44869</v>
      </c>
      <c r="I33" s="39">
        <v>45234</v>
      </c>
      <c r="J33" s="83" t="s">
        <v>569</v>
      </c>
      <c r="K33" s="40" t="s">
        <v>564</v>
      </c>
      <c r="L33" s="41" t="s">
        <v>69</v>
      </c>
      <c r="M33" s="35" t="s">
        <v>40</v>
      </c>
    </row>
    <row r="34" spans="1:13" ht="102" customHeight="1">
      <c r="A34" s="96" t="str">
        <f t="shared" si="0"/>
        <v>22EB0115ADVANCE PAYMENT BOND</v>
      </c>
      <c r="B34" s="136">
        <v>19</v>
      </c>
      <c r="C34" s="42" t="s">
        <v>560</v>
      </c>
      <c r="D34" s="36" t="s">
        <v>561</v>
      </c>
      <c r="E34" s="37" t="s">
        <v>562</v>
      </c>
      <c r="F34" s="38">
        <v>657562.74</v>
      </c>
      <c r="G34" s="39">
        <v>44887</v>
      </c>
      <c r="H34" s="39">
        <v>44887</v>
      </c>
      <c r="I34" s="39">
        <v>45252</v>
      </c>
      <c r="J34" s="83" t="s">
        <v>30</v>
      </c>
      <c r="K34" s="40" t="s">
        <v>565</v>
      </c>
      <c r="L34" s="41" t="s">
        <v>69</v>
      </c>
      <c r="M34" s="35" t="s">
        <v>34</v>
      </c>
    </row>
    <row r="35" spans="1:13" ht="79.5" customHeight="1">
      <c r="A35" s="96" t="str">
        <f t="shared" si="0"/>
        <v>22EB0064RETENTION BOND</v>
      </c>
      <c r="B35" s="136">
        <v>22</v>
      </c>
      <c r="C35" s="42" t="s">
        <v>72</v>
      </c>
      <c r="D35" s="36" t="s">
        <v>566</v>
      </c>
      <c r="E35" s="37" t="s">
        <v>567</v>
      </c>
      <c r="F35" s="38">
        <v>435520.95</v>
      </c>
      <c r="G35" s="39">
        <v>44746</v>
      </c>
      <c r="H35" s="39">
        <v>44746</v>
      </c>
      <c r="I35" s="39">
        <v>45111</v>
      </c>
      <c r="J35" s="83" t="s">
        <v>30</v>
      </c>
      <c r="K35" s="40" t="s">
        <v>568</v>
      </c>
      <c r="L35" s="41" t="s">
        <v>69</v>
      </c>
      <c r="M35" s="35" t="s">
        <v>33</v>
      </c>
    </row>
    <row r="36" spans="1:13" ht="135.75" customHeight="1">
      <c r="A36" s="96" t="str">
        <f t="shared" si="0"/>
        <v>22EB0025RETENTION BOND</v>
      </c>
      <c r="B36" s="136">
        <v>23</v>
      </c>
      <c r="C36" s="42" t="s">
        <v>44</v>
      </c>
      <c r="D36" s="36" t="s">
        <v>570</v>
      </c>
      <c r="E36" s="37" t="s">
        <v>571</v>
      </c>
      <c r="F36" s="38">
        <v>4576171.72</v>
      </c>
      <c r="G36" s="39">
        <v>44890</v>
      </c>
      <c r="H36" s="39">
        <v>44890</v>
      </c>
      <c r="I36" s="39">
        <v>45255</v>
      </c>
      <c r="J36" s="83" t="s">
        <v>30</v>
      </c>
      <c r="K36" s="40" t="s">
        <v>572</v>
      </c>
      <c r="L36" s="41" t="s">
        <v>69</v>
      </c>
      <c r="M36" s="35" t="s">
        <v>33</v>
      </c>
    </row>
    <row r="37" spans="1:13" ht="79.5" customHeight="1">
      <c r="A37" s="96" t="str">
        <f t="shared" si="0"/>
        <v>22EB0094-R1RETENTION BOND</v>
      </c>
      <c r="B37" s="136">
        <v>24</v>
      </c>
      <c r="C37" s="42" t="s">
        <v>44</v>
      </c>
      <c r="D37" s="36" t="s">
        <v>330</v>
      </c>
      <c r="E37" s="37" t="s">
        <v>573</v>
      </c>
      <c r="F37" s="38">
        <v>367533.1</v>
      </c>
      <c r="G37" s="39">
        <v>44838</v>
      </c>
      <c r="H37" s="39">
        <v>44838</v>
      </c>
      <c r="I37" s="39">
        <v>45203</v>
      </c>
      <c r="J37" s="83" t="s">
        <v>30</v>
      </c>
      <c r="K37" s="40" t="s">
        <v>574</v>
      </c>
      <c r="L37" s="41" t="s">
        <v>69</v>
      </c>
      <c r="M37" s="35" t="s">
        <v>33</v>
      </c>
    </row>
    <row r="38" spans="1:13" ht="79.5" customHeight="1">
      <c r="A38" s="96" t="str">
        <f t="shared" si="0"/>
        <v>22EB0106RETENTION BOND</v>
      </c>
      <c r="B38" s="136">
        <v>25</v>
      </c>
      <c r="C38" s="42" t="s">
        <v>44</v>
      </c>
      <c r="D38" s="36" t="s">
        <v>457</v>
      </c>
      <c r="E38" s="37" t="s">
        <v>458</v>
      </c>
      <c r="F38" s="38">
        <v>310808.7</v>
      </c>
      <c r="G38" s="39">
        <v>44890</v>
      </c>
      <c r="H38" s="39">
        <v>44890</v>
      </c>
      <c r="I38" s="39">
        <v>45255</v>
      </c>
      <c r="J38" s="83" t="s">
        <v>30</v>
      </c>
      <c r="K38" s="40" t="s">
        <v>575</v>
      </c>
      <c r="L38" s="41" t="s">
        <v>69</v>
      </c>
      <c r="M38" s="35" t="s">
        <v>33</v>
      </c>
    </row>
    <row r="39" spans="1:13" ht="135.75" customHeight="1">
      <c r="A39" s="96" t="str">
        <f t="shared" si="0"/>
        <v>22EB0057RETENTION BOND</v>
      </c>
      <c r="B39" s="136">
        <v>26</v>
      </c>
      <c r="C39" s="42" t="s">
        <v>68</v>
      </c>
      <c r="D39" s="36" t="s">
        <v>576</v>
      </c>
      <c r="E39" s="37" t="s">
        <v>577</v>
      </c>
      <c r="F39" s="38">
        <v>494924.45</v>
      </c>
      <c r="G39" s="39">
        <v>44890</v>
      </c>
      <c r="H39" s="39">
        <v>44890</v>
      </c>
      <c r="I39" s="39">
        <v>45255</v>
      </c>
      <c r="J39" s="83" t="s">
        <v>30</v>
      </c>
      <c r="K39" s="40" t="s">
        <v>578</v>
      </c>
      <c r="L39" s="41" t="s">
        <v>69</v>
      </c>
      <c r="M39" s="35" t="s">
        <v>33</v>
      </c>
    </row>
    <row r="40" spans="1:13" ht="79.5" customHeight="1">
      <c r="A40" s="96" t="str">
        <f t="shared" si="0"/>
        <v>22EB0061RETENTION BOND</v>
      </c>
      <c r="B40" s="136">
        <v>27</v>
      </c>
      <c r="C40" s="42" t="s">
        <v>44</v>
      </c>
      <c r="D40" s="36" t="s">
        <v>579</v>
      </c>
      <c r="E40" s="37" t="s">
        <v>580</v>
      </c>
      <c r="F40" s="38">
        <v>482392.6</v>
      </c>
      <c r="G40" s="39">
        <v>44890</v>
      </c>
      <c r="H40" s="39">
        <v>44890</v>
      </c>
      <c r="I40" s="39">
        <v>45255</v>
      </c>
      <c r="J40" s="83" t="s">
        <v>30</v>
      </c>
      <c r="K40" s="40" t="s">
        <v>581</v>
      </c>
      <c r="L40" s="41" t="s">
        <v>69</v>
      </c>
      <c r="M40" s="35" t="s">
        <v>33</v>
      </c>
    </row>
    <row r="41" spans="1:13" ht="135.75" customHeight="1">
      <c r="A41" s="96" t="str">
        <f t="shared" si="0"/>
        <v>21EB0141RETENTION BOND</v>
      </c>
      <c r="B41" s="136">
        <v>28</v>
      </c>
      <c r="C41" s="42" t="s">
        <v>582</v>
      </c>
      <c r="D41" s="36" t="s">
        <v>93</v>
      </c>
      <c r="E41" s="37" t="s">
        <v>94</v>
      </c>
      <c r="F41" s="38">
        <v>407676.33</v>
      </c>
      <c r="G41" s="39">
        <v>44893</v>
      </c>
      <c r="H41" s="39">
        <v>44893</v>
      </c>
      <c r="I41" s="39">
        <v>45258</v>
      </c>
      <c r="J41" s="83" t="s">
        <v>30</v>
      </c>
      <c r="K41" s="40" t="s">
        <v>583</v>
      </c>
      <c r="L41" s="41" t="s">
        <v>35</v>
      </c>
      <c r="M41" s="35" t="s">
        <v>33</v>
      </c>
    </row>
    <row r="42" spans="1:13" ht="79.5" customHeight="1">
      <c r="A42" s="96" t="str">
        <f t="shared" si="0"/>
        <v>20EB0069WARRANTY BOND</v>
      </c>
      <c r="B42" s="136">
        <v>29</v>
      </c>
      <c r="C42" s="42" t="s">
        <v>75</v>
      </c>
      <c r="D42" s="36" t="s">
        <v>584</v>
      </c>
      <c r="E42" s="37" t="s">
        <v>585</v>
      </c>
      <c r="F42" s="38">
        <v>1484996</v>
      </c>
      <c r="G42" s="39">
        <v>44818</v>
      </c>
      <c r="H42" s="39">
        <v>44818</v>
      </c>
      <c r="I42" s="39">
        <v>45183</v>
      </c>
      <c r="J42" s="83" t="s">
        <v>30</v>
      </c>
      <c r="K42" s="40" t="s">
        <v>586</v>
      </c>
      <c r="L42" s="41" t="s">
        <v>35</v>
      </c>
      <c r="M42" s="35" t="s">
        <v>37</v>
      </c>
    </row>
    <row r="43" spans="1:13" ht="79.5" customHeight="1">
      <c r="A43" s="96" t="str">
        <f t="shared" si="0"/>
        <v>20EB0067WARRANTY BOND</v>
      </c>
      <c r="B43" s="136">
        <v>29</v>
      </c>
      <c r="C43" s="42" t="s">
        <v>75</v>
      </c>
      <c r="D43" s="36" t="s">
        <v>587</v>
      </c>
      <c r="E43" s="37" t="s">
        <v>588</v>
      </c>
      <c r="F43" s="38">
        <v>1484785</v>
      </c>
      <c r="G43" s="39">
        <v>44819</v>
      </c>
      <c r="H43" s="39">
        <v>44819</v>
      </c>
      <c r="I43" s="39">
        <v>45184</v>
      </c>
      <c r="J43" s="83" t="s">
        <v>30</v>
      </c>
      <c r="K43" s="40" t="s">
        <v>589</v>
      </c>
      <c r="L43" s="41" t="s">
        <v>35</v>
      </c>
      <c r="M43" s="35" t="s">
        <v>37</v>
      </c>
    </row>
    <row r="44" spans="1:13" ht="79.5" customHeight="1">
      <c r="A44" s="96" t="str">
        <f t="shared" si="0"/>
        <v>20EB0032WARRANTY BOND</v>
      </c>
      <c r="B44" s="136">
        <v>29</v>
      </c>
      <c r="C44" s="42" t="s">
        <v>44</v>
      </c>
      <c r="D44" s="36" t="s">
        <v>590</v>
      </c>
      <c r="E44" s="37" t="s">
        <v>591</v>
      </c>
      <c r="F44" s="38">
        <v>4409407.7</v>
      </c>
      <c r="G44" s="39">
        <v>44803</v>
      </c>
      <c r="H44" s="39">
        <v>44803</v>
      </c>
      <c r="I44" s="39">
        <v>45168</v>
      </c>
      <c r="J44" s="83" t="s">
        <v>30</v>
      </c>
      <c r="K44" s="40" t="s">
        <v>592</v>
      </c>
      <c r="L44" s="41" t="s">
        <v>28</v>
      </c>
      <c r="M44" s="35" t="s">
        <v>37</v>
      </c>
    </row>
    <row r="45" spans="1:13" ht="96" customHeight="1">
      <c r="A45" s="96" t="str">
        <f t="shared" si="0"/>
        <v>20EB0087WARRANTY BOND</v>
      </c>
      <c r="B45" s="136">
        <v>32</v>
      </c>
      <c r="C45" s="42" t="s">
        <v>596</v>
      </c>
      <c r="D45" s="36" t="s">
        <v>593</v>
      </c>
      <c r="E45" s="37" t="s">
        <v>594</v>
      </c>
      <c r="F45" s="38">
        <v>890975.93</v>
      </c>
      <c r="G45" s="39">
        <v>44803</v>
      </c>
      <c r="H45" s="39">
        <v>44803</v>
      </c>
      <c r="I45" s="39">
        <v>45168</v>
      </c>
      <c r="J45" s="83" t="s">
        <v>30</v>
      </c>
      <c r="K45" s="40" t="s">
        <v>595</v>
      </c>
      <c r="L45" s="41" t="s">
        <v>496</v>
      </c>
      <c r="M45" s="35" t="s">
        <v>37</v>
      </c>
    </row>
    <row r="46" spans="1:13" ht="96" customHeight="1">
      <c r="A46" s="96" t="str">
        <f t="shared" si="0"/>
        <v>18EB0180-R1WARRANTY BOND</v>
      </c>
      <c r="B46" s="136">
        <v>33</v>
      </c>
      <c r="C46" s="42" t="s">
        <v>596</v>
      </c>
      <c r="D46" s="36" t="s">
        <v>597</v>
      </c>
      <c r="E46" s="37" t="s">
        <v>598</v>
      </c>
      <c r="F46" s="38">
        <v>2866478.31</v>
      </c>
      <c r="G46" s="39">
        <v>44697</v>
      </c>
      <c r="H46" s="39">
        <v>44697</v>
      </c>
      <c r="I46" s="39">
        <v>45062</v>
      </c>
      <c r="J46" s="83" t="s">
        <v>30</v>
      </c>
      <c r="K46" s="40" t="s">
        <v>599</v>
      </c>
      <c r="L46" s="41" t="s">
        <v>496</v>
      </c>
      <c r="M46" s="35" t="s">
        <v>37</v>
      </c>
    </row>
    <row r="47" spans="1:13" ht="96" customHeight="1">
      <c r="A47" s="96" t="str">
        <f t="shared" si="0"/>
        <v>21EB0085WARRANTY BOND</v>
      </c>
      <c r="B47" s="136">
        <v>34</v>
      </c>
      <c r="C47" s="42" t="s">
        <v>600</v>
      </c>
      <c r="D47" s="36" t="s">
        <v>601</v>
      </c>
      <c r="E47" s="37" t="s">
        <v>602</v>
      </c>
      <c r="F47" s="38">
        <v>1469957.37</v>
      </c>
      <c r="G47" s="39">
        <v>44872</v>
      </c>
      <c r="H47" s="39">
        <v>44872</v>
      </c>
      <c r="I47" s="39">
        <v>45237</v>
      </c>
      <c r="J47" s="83" t="s">
        <v>30</v>
      </c>
      <c r="K47" s="40" t="s">
        <v>603</v>
      </c>
      <c r="L47" s="41" t="s">
        <v>28</v>
      </c>
      <c r="M47" s="35" t="s">
        <v>37</v>
      </c>
    </row>
    <row r="48" spans="1:13" ht="96" customHeight="1">
      <c r="A48" s="96" t="str">
        <f t="shared" si="0"/>
        <v>20EB0110WARRANTY BOND</v>
      </c>
      <c r="B48" s="136">
        <v>34</v>
      </c>
      <c r="C48" s="42" t="s">
        <v>43</v>
      </c>
      <c r="D48" s="36" t="s">
        <v>604</v>
      </c>
      <c r="E48" s="37" t="s">
        <v>605</v>
      </c>
      <c r="F48" s="38">
        <v>4379522.2699999996</v>
      </c>
      <c r="G48" s="39">
        <v>44847</v>
      </c>
      <c r="H48" s="39">
        <v>44847</v>
      </c>
      <c r="I48" s="39">
        <v>45212</v>
      </c>
      <c r="J48" s="83" t="s">
        <v>30</v>
      </c>
      <c r="K48" s="40" t="s">
        <v>606</v>
      </c>
      <c r="L48" s="41" t="s">
        <v>28</v>
      </c>
      <c r="M48" s="35" t="s">
        <v>37</v>
      </c>
    </row>
    <row r="49" spans="1:13" ht="96" customHeight="1">
      <c r="A49" s="96" t="str">
        <f t="shared" si="0"/>
        <v>22EB0101RETENTION BOND</v>
      </c>
      <c r="B49" s="136">
        <v>34</v>
      </c>
      <c r="C49" s="42" t="s">
        <v>170</v>
      </c>
      <c r="D49" s="36" t="s">
        <v>171</v>
      </c>
      <c r="E49" s="37" t="s">
        <v>172</v>
      </c>
      <c r="F49" s="38">
        <v>494831.05</v>
      </c>
      <c r="G49" s="39">
        <v>44887</v>
      </c>
      <c r="H49" s="39">
        <v>44887</v>
      </c>
      <c r="I49" s="39">
        <v>45252</v>
      </c>
      <c r="J49" s="83" t="s">
        <v>30</v>
      </c>
      <c r="K49" s="40" t="s">
        <v>519</v>
      </c>
      <c r="L49" s="41" t="s">
        <v>28</v>
      </c>
      <c r="M49" s="35" t="s">
        <v>33</v>
      </c>
    </row>
    <row r="50" spans="1:13" ht="96" customHeight="1">
      <c r="A50" s="96" t="str">
        <f t="shared" si="0"/>
        <v>19EB0038-R1WARRANTY BOND</v>
      </c>
      <c r="B50" s="136">
        <v>34</v>
      </c>
      <c r="C50" s="42" t="s">
        <v>227</v>
      </c>
      <c r="D50" s="36" t="s">
        <v>607</v>
      </c>
      <c r="E50" s="37" t="s">
        <v>608</v>
      </c>
      <c r="F50" s="38">
        <v>10289556</v>
      </c>
      <c r="G50" s="39">
        <v>44696</v>
      </c>
      <c r="H50" s="39">
        <v>44696</v>
      </c>
      <c r="I50" s="39">
        <v>45061</v>
      </c>
      <c r="J50" s="83" t="s">
        <v>30</v>
      </c>
      <c r="K50" s="40" t="s">
        <v>609</v>
      </c>
      <c r="L50" s="41" t="s">
        <v>35</v>
      </c>
      <c r="M50" s="35" t="s">
        <v>37</v>
      </c>
    </row>
    <row r="51" spans="1:13" ht="96" customHeight="1">
      <c r="A51" s="96" t="str">
        <f t="shared" si="0"/>
        <v>19EB0036WARRANTY BOND</v>
      </c>
      <c r="B51" s="136">
        <v>34</v>
      </c>
      <c r="C51" s="42" t="s">
        <v>227</v>
      </c>
      <c r="D51" s="36" t="s">
        <v>610</v>
      </c>
      <c r="E51" s="37" t="s">
        <v>611</v>
      </c>
      <c r="F51" s="38">
        <v>10289315.5</v>
      </c>
      <c r="G51" s="39">
        <v>44613</v>
      </c>
      <c r="H51" s="39">
        <v>44613</v>
      </c>
      <c r="I51" s="39">
        <v>44978</v>
      </c>
      <c r="J51" s="83" t="s">
        <v>30</v>
      </c>
      <c r="K51" s="40" t="s">
        <v>612</v>
      </c>
      <c r="L51" s="41" t="s">
        <v>35</v>
      </c>
      <c r="M51" s="35" t="s">
        <v>37</v>
      </c>
    </row>
    <row r="52" spans="1:13" ht="96" customHeight="1">
      <c r="A52" s="96" t="str">
        <f t="shared" si="0"/>
        <v>19EB0037WARRANTY BOND</v>
      </c>
      <c r="B52" s="136">
        <v>34</v>
      </c>
      <c r="C52" s="42" t="s">
        <v>227</v>
      </c>
      <c r="D52" s="36" t="s">
        <v>613</v>
      </c>
      <c r="E52" s="37" t="s">
        <v>614</v>
      </c>
      <c r="F52" s="38">
        <v>10289315.5</v>
      </c>
      <c r="G52" s="39">
        <v>44613</v>
      </c>
      <c r="H52" s="39">
        <v>44613</v>
      </c>
      <c r="I52" s="39">
        <v>44978</v>
      </c>
      <c r="J52" s="83" t="s">
        <v>30</v>
      </c>
      <c r="K52" s="40" t="s">
        <v>615</v>
      </c>
      <c r="L52" s="41" t="s">
        <v>35</v>
      </c>
      <c r="M52" s="35" t="s">
        <v>37</v>
      </c>
    </row>
    <row r="53" spans="1:13" ht="96" customHeight="1">
      <c r="A53" s="96" t="str">
        <f t="shared" si="0"/>
        <v>19EB0017WARRANTY BOND</v>
      </c>
      <c r="B53" s="136">
        <v>34</v>
      </c>
      <c r="C53" s="42" t="s">
        <v>227</v>
      </c>
      <c r="D53" s="36" t="s">
        <v>616</v>
      </c>
      <c r="E53" s="37" t="s">
        <v>617</v>
      </c>
      <c r="F53" s="38">
        <v>13037196</v>
      </c>
      <c r="G53" s="39">
        <v>44620</v>
      </c>
      <c r="H53" s="39">
        <v>44620</v>
      </c>
      <c r="I53" s="39">
        <v>44985</v>
      </c>
      <c r="J53" s="83" t="s">
        <v>30</v>
      </c>
      <c r="K53" s="40" t="s">
        <v>618</v>
      </c>
      <c r="L53" s="41" t="s">
        <v>35</v>
      </c>
      <c r="M53" s="35" t="s">
        <v>37</v>
      </c>
    </row>
    <row r="54" spans="1:13" ht="113.25" customHeight="1">
      <c r="A54" s="96" t="str">
        <f t="shared" si="0"/>
        <v>19EB0066WARRANTY BOND</v>
      </c>
      <c r="B54" s="136">
        <v>41</v>
      </c>
      <c r="C54" s="42" t="s">
        <v>619</v>
      </c>
      <c r="D54" s="36" t="s">
        <v>620</v>
      </c>
      <c r="E54" s="37" t="s">
        <v>621</v>
      </c>
      <c r="F54" s="38">
        <v>8819765.5</v>
      </c>
      <c r="G54" s="39">
        <v>44633</v>
      </c>
      <c r="H54" s="39">
        <v>44633</v>
      </c>
      <c r="I54" s="39">
        <v>44998</v>
      </c>
      <c r="J54" s="83" t="s">
        <v>30</v>
      </c>
      <c r="K54" s="40" t="s">
        <v>618</v>
      </c>
      <c r="L54" s="41" t="s">
        <v>35</v>
      </c>
      <c r="M54" s="35" t="s">
        <v>37</v>
      </c>
    </row>
    <row r="55" spans="1:13" ht="113.25" customHeight="1">
      <c r="A55" s="96" t="str">
        <f t="shared" si="0"/>
        <v>21EB0136RETENTION BOND</v>
      </c>
      <c r="B55" s="136">
        <v>42</v>
      </c>
      <c r="C55" s="42" t="s">
        <v>75</v>
      </c>
      <c r="D55" s="36" t="s">
        <v>174</v>
      </c>
      <c r="E55" s="37" t="s">
        <v>175</v>
      </c>
      <c r="F55" s="38">
        <v>239104.26</v>
      </c>
      <c r="G55" s="39">
        <v>44893</v>
      </c>
      <c r="H55" s="39">
        <v>44893</v>
      </c>
      <c r="I55" s="39">
        <v>45258</v>
      </c>
      <c r="J55" s="83" t="s">
        <v>30</v>
      </c>
      <c r="K55" s="40" t="s">
        <v>529</v>
      </c>
      <c r="L55" s="41" t="s">
        <v>28</v>
      </c>
      <c r="M55" s="35" t="s">
        <v>33</v>
      </c>
    </row>
    <row r="56" spans="1:13" ht="113.25" customHeight="1">
      <c r="A56" s="96" t="str">
        <f t="shared" si="0"/>
        <v>22EB0054RETENTION BOND</v>
      </c>
      <c r="B56" s="136">
        <v>43</v>
      </c>
      <c r="C56" s="42" t="s">
        <v>257</v>
      </c>
      <c r="D56" s="36" t="s">
        <v>623</v>
      </c>
      <c r="E56" s="37" t="s">
        <v>622</v>
      </c>
      <c r="F56" s="38">
        <v>1572559.54</v>
      </c>
      <c r="G56" s="39">
        <v>44900</v>
      </c>
      <c r="H56" s="39">
        <v>44900</v>
      </c>
      <c r="I56" s="39">
        <v>45265</v>
      </c>
      <c r="J56" s="83" t="s">
        <v>30</v>
      </c>
      <c r="K56" s="40" t="s">
        <v>529</v>
      </c>
      <c r="L56" s="41" t="s">
        <v>28</v>
      </c>
      <c r="M56" s="35" t="s">
        <v>33</v>
      </c>
    </row>
    <row r="57" spans="1:13" ht="113.25" customHeight="1">
      <c r="A57" s="96" t="str">
        <f t="shared" si="0"/>
        <v>22EB0070RETENTION BOND</v>
      </c>
      <c r="B57" s="136">
        <v>43</v>
      </c>
      <c r="C57" s="42" t="s">
        <v>257</v>
      </c>
      <c r="D57" s="36" t="s">
        <v>624</v>
      </c>
      <c r="E57" s="37" t="s">
        <v>625</v>
      </c>
      <c r="F57" s="38">
        <v>679916.79</v>
      </c>
      <c r="G57" s="39">
        <v>44900</v>
      </c>
      <c r="H57" s="39">
        <v>44900</v>
      </c>
      <c r="I57" s="39">
        <v>45265</v>
      </c>
      <c r="J57" s="83" t="s">
        <v>30</v>
      </c>
      <c r="K57" s="40" t="s">
        <v>525</v>
      </c>
      <c r="L57" s="41" t="s">
        <v>28</v>
      </c>
      <c r="M57" s="35" t="s">
        <v>33</v>
      </c>
    </row>
    <row r="58" spans="1:13" ht="96" customHeight="1">
      <c r="A58" s="96" t="str">
        <f t="shared" si="0"/>
        <v>22EB0084RETENTION BOND</v>
      </c>
      <c r="B58" s="136">
        <v>34</v>
      </c>
      <c r="C58" s="42" t="s">
        <v>41</v>
      </c>
      <c r="D58" s="36" t="s">
        <v>163</v>
      </c>
      <c r="E58" s="37" t="s">
        <v>626</v>
      </c>
      <c r="F58" s="38">
        <v>685914.86</v>
      </c>
      <c r="G58" s="39">
        <v>44894</v>
      </c>
      <c r="H58" s="39">
        <v>44894</v>
      </c>
      <c r="I58" s="39">
        <v>45259</v>
      </c>
      <c r="J58" s="83" t="s">
        <v>30</v>
      </c>
      <c r="K58" s="40" t="s">
        <v>559</v>
      </c>
      <c r="L58" s="41" t="s">
        <v>28</v>
      </c>
      <c r="M58" s="35" t="s">
        <v>33</v>
      </c>
    </row>
    <row r="59" spans="1:13" ht="96" customHeight="1">
      <c r="A59" s="96" t="str">
        <f t="shared" si="0"/>
        <v>22EB0062RETENTION BOND</v>
      </c>
      <c r="B59" s="136">
        <v>34</v>
      </c>
      <c r="C59" s="42" t="s">
        <v>227</v>
      </c>
      <c r="D59" s="36" t="s">
        <v>627</v>
      </c>
      <c r="E59" s="37" t="s">
        <v>628</v>
      </c>
      <c r="F59" s="38">
        <v>494909.76</v>
      </c>
      <c r="G59" s="39">
        <v>44894</v>
      </c>
      <c r="H59" s="39">
        <v>44894</v>
      </c>
      <c r="I59" s="39">
        <v>45259</v>
      </c>
      <c r="J59" s="83" t="s">
        <v>30</v>
      </c>
      <c r="K59" s="40" t="s">
        <v>530</v>
      </c>
      <c r="L59" s="41" t="s">
        <v>28</v>
      </c>
      <c r="M59" s="35" t="s">
        <v>33</v>
      </c>
    </row>
    <row r="60" spans="1:13" ht="96" customHeight="1">
      <c r="A60" s="96" t="str">
        <f t="shared" si="0"/>
        <v>22EB0087CONTRACTOR'S ALL RISK POLICY</v>
      </c>
      <c r="B60" s="136">
        <v>34</v>
      </c>
      <c r="C60" s="42" t="s">
        <v>43</v>
      </c>
      <c r="D60" s="36" t="s">
        <v>151</v>
      </c>
      <c r="E60" s="37" t="s">
        <v>152</v>
      </c>
      <c r="F60" s="38">
        <v>6489159.7599999998</v>
      </c>
      <c r="G60" s="39">
        <v>44650</v>
      </c>
      <c r="H60" s="39">
        <v>44650</v>
      </c>
      <c r="I60" s="39">
        <v>45015</v>
      </c>
      <c r="J60" s="83" t="s">
        <v>30</v>
      </c>
      <c r="K60" s="40" t="s">
        <v>178</v>
      </c>
      <c r="L60" s="41" t="s">
        <v>28</v>
      </c>
      <c r="M60" s="35" t="s">
        <v>31</v>
      </c>
    </row>
    <row r="61" spans="1:13" ht="96" customHeight="1">
      <c r="A61" s="96" t="str">
        <f t="shared" si="0"/>
        <v>22EB0085CONTRACTOR'S ALL RISK POLICY</v>
      </c>
      <c r="B61" s="136">
        <v>34</v>
      </c>
      <c r="C61" s="42" t="s">
        <v>43</v>
      </c>
      <c r="D61" s="36" t="s">
        <v>148</v>
      </c>
      <c r="E61" s="37" t="s">
        <v>149</v>
      </c>
      <c r="F61" s="38">
        <v>6908291.8600000003</v>
      </c>
      <c r="G61" s="39">
        <v>44650</v>
      </c>
      <c r="H61" s="39">
        <v>44650</v>
      </c>
      <c r="I61" s="39">
        <v>45015</v>
      </c>
      <c r="J61" s="83" t="s">
        <v>30</v>
      </c>
      <c r="K61" s="40" t="s">
        <v>179</v>
      </c>
      <c r="L61" s="41" t="s">
        <v>28</v>
      </c>
      <c r="M61" s="35" t="s">
        <v>31</v>
      </c>
    </row>
    <row r="62" spans="1:13" ht="96" customHeight="1">
      <c r="A62" s="96" t="str">
        <f t="shared" si="0"/>
        <v>20EB0051WARRANTY BOND</v>
      </c>
      <c r="B62" s="136">
        <v>34</v>
      </c>
      <c r="C62" s="42" t="s">
        <v>227</v>
      </c>
      <c r="D62" s="36" t="s">
        <v>629</v>
      </c>
      <c r="E62" s="37" t="s">
        <v>630</v>
      </c>
      <c r="F62" s="38">
        <v>14697742</v>
      </c>
      <c r="G62" s="39">
        <v>44654</v>
      </c>
      <c r="H62" s="39">
        <v>44654</v>
      </c>
      <c r="I62" s="39">
        <v>45019</v>
      </c>
      <c r="J62" s="83" t="s">
        <v>30</v>
      </c>
      <c r="K62" s="40" t="s">
        <v>631</v>
      </c>
      <c r="L62" s="41" t="s">
        <v>35</v>
      </c>
      <c r="M62" s="35" t="s">
        <v>37</v>
      </c>
    </row>
    <row r="63" spans="1:13" ht="96" customHeight="1">
      <c r="A63" s="96" t="str">
        <f t="shared" si="0"/>
        <v>20EB0055WARRANTY BOND</v>
      </c>
      <c r="B63" s="136">
        <v>34</v>
      </c>
      <c r="C63" s="42" t="s">
        <v>227</v>
      </c>
      <c r="D63" s="36" t="s">
        <v>632</v>
      </c>
      <c r="E63" s="37" t="s">
        <v>633</v>
      </c>
      <c r="F63" s="38">
        <v>14699288</v>
      </c>
      <c r="G63" s="39">
        <v>44654</v>
      </c>
      <c r="H63" s="39">
        <v>44654</v>
      </c>
      <c r="I63" s="39">
        <v>45019</v>
      </c>
      <c r="J63" s="83" t="s">
        <v>30</v>
      </c>
      <c r="K63" s="40" t="s">
        <v>634</v>
      </c>
      <c r="L63" s="41" t="s">
        <v>35</v>
      </c>
      <c r="M63" s="35" t="s">
        <v>37</v>
      </c>
    </row>
    <row r="64" spans="1:13" ht="96" customHeight="1">
      <c r="A64" s="96" t="str">
        <f t="shared" si="0"/>
        <v>20EB0053WARRANTY BOND</v>
      </c>
      <c r="B64" s="136">
        <v>34</v>
      </c>
      <c r="C64" s="42" t="s">
        <v>227</v>
      </c>
      <c r="D64" s="36" t="s">
        <v>635</v>
      </c>
      <c r="E64" s="37" t="s">
        <v>636</v>
      </c>
      <c r="F64" s="38">
        <v>14699988</v>
      </c>
      <c r="G64" s="39">
        <v>44654</v>
      </c>
      <c r="H64" s="39">
        <v>44654</v>
      </c>
      <c r="I64" s="39">
        <v>45019</v>
      </c>
      <c r="J64" s="83" t="s">
        <v>30</v>
      </c>
      <c r="K64" s="40" t="s">
        <v>637</v>
      </c>
      <c r="L64" s="41" t="s">
        <v>35</v>
      </c>
      <c r="M64" s="35" t="s">
        <v>37</v>
      </c>
    </row>
    <row r="65" spans="1:13" ht="96" customHeight="1">
      <c r="A65" s="96" t="str">
        <f t="shared" si="0"/>
        <v>20EB0056WARRANTY BOND</v>
      </c>
      <c r="B65" s="136">
        <v>34</v>
      </c>
      <c r="C65" s="42" t="s">
        <v>227</v>
      </c>
      <c r="D65" s="36" t="s">
        <v>638</v>
      </c>
      <c r="E65" s="37" t="s">
        <v>639</v>
      </c>
      <c r="F65" s="38">
        <v>14699450</v>
      </c>
      <c r="G65" s="39">
        <v>44654</v>
      </c>
      <c r="H65" s="39">
        <v>44654</v>
      </c>
      <c r="I65" s="39">
        <v>45019</v>
      </c>
      <c r="J65" s="83" t="s">
        <v>30</v>
      </c>
      <c r="K65" s="40" t="s">
        <v>640</v>
      </c>
      <c r="L65" s="41" t="s">
        <v>35</v>
      </c>
      <c r="M65" s="35" t="s">
        <v>37</v>
      </c>
    </row>
    <row r="66" spans="1:13" ht="96" customHeight="1">
      <c r="A66" s="96" t="str">
        <f t="shared" si="0"/>
        <v>20EB0048WARRANTY BOND</v>
      </c>
      <c r="B66" s="136">
        <v>34</v>
      </c>
      <c r="C66" s="42" t="s">
        <v>227</v>
      </c>
      <c r="D66" s="36" t="s">
        <v>641</v>
      </c>
      <c r="E66" s="37" t="s">
        <v>642</v>
      </c>
      <c r="F66" s="38">
        <v>14699005.5</v>
      </c>
      <c r="G66" s="39">
        <v>44773</v>
      </c>
      <c r="H66" s="39">
        <v>44773</v>
      </c>
      <c r="I66" s="39">
        <v>45138</v>
      </c>
      <c r="J66" s="83" t="s">
        <v>30</v>
      </c>
      <c r="K66" s="40" t="s">
        <v>643</v>
      </c>
      <c r="L66" s="41" t="s">
        <v>35</v>
      </c>
      <c r="M66" s="35" t="s">
        <v>37</v>
      </c>
    </row>
    <row r="67" spans="1:13" ht="96" customHeight="1">
      <c r="A67" s="96" t="str">
        <f t="shared" si="0"/>
        <v>20EB0057WARRANTY BOND</v>
      </c>
      <c r="B67" s="136">
        <v>34</v>
      </c>
      <c r="C67" s="42" t="s">
        <v>227</v>
      </c>
      <c r="D67" s="36" t="s">
        <v>644</v>
      </c>
      <c r="E67" s="37" t="s">
        <v>645</v>
      </c>
      <c r="F67" s="38">
        <v>14380271</v>
      </c>
      <c r="G67" s="39">
        <v>44715</v>
      </c>
      <c r="H67" s="39">
        <v>44715</v>
      </c>
      <c r="I67" s="39">
        <v>45080</v>
      </c>
      <c r="J67" s="83" t="s">
        <v>30</v>
      </c>
      <c r="K67" s="40" t="s">
        <v>646</v>
      </c>
      <c r="L67" s="41" t="s">
        <v>35</v>
      </c>
      <c r="M67" s="35" t="s">
        <v>37</v>
      </c>
    </row>
    <row r="68" spans="1:13" ht="96" customHeight="1">
      <c r="A68" s="96" t="str">
        <f t="shared" si="0"/>
        <v>20EB0058WARRANTY BOND</v>
      </c>
      <c r="B68" s="136">
        <v>34</v>
      </c>
      <c r="C68" s="42" t="s">
        <v>227</v>
      </c>
      <c r="D68" s="36" t="s">
        <v>647</v>
      </c>
      <c r="E68" s="37" t="s">
        <v>648</v>
      </c>
      <c r="F68" s="38">
        <v>14670476</v>
      </c>
      <c r="G68" s="39">
        <v>44715</v>
      </c>
      <c r="H68" s="39">
        <v>44715</v>
      </c>
      <c r="I68" s="39">
        <v>45080</v>
      </c>
      <c r="J68" s="83" t="s">
        <v>30</v>
      </c>
      <c r="K68" s="40" t="s">
        <v>649</v>
      </c>
      <c r="L68" s="41" t="s">
        <v>35</v>
      </c>
      <c r="M68" s="35" t="s">
        <v>37</v>
      </c>
    </row>
    <row r="69" spans="1:13" ht="96" customHeight="1">
      <c r="A69" s="96" t="str">
        <f t="shared" si="0"/>
        <v>20EB0009WARRANTY BOND</v>
      </c>
      <c r="B69" s="136">
        <v>34</v>
      </c>
      <c r="C69" s="42" t="s">
        <v>227</v>
      </c>
      <c r="D69" s="36" t="s">
        <v>650</v>
      </c>
      <c r="E69" s="37" t="s">
        <v>651</v>
      </c>
      <c r="F69" s="38">
        <v>14698974</v>
      </c>
      <c r="G69" s="39">
        <v>44880</v>
      </c>
      <c r="H69" s="39">
        <v>44880</v>
      </c>
      <c r="I69" s="39">
        <v>45245</v>
      </c>
      <c r="J69" s="83" t="s">
        <v>30</v>
      </c>
      <c r="K69" s="40" t="s">
        <v>652</v>
      </c>
      <c r="L69" s="41" t="s">
        <v>35</v>
      </c>
      <c r="M69" s="35" t="s">
        <v>37</v>
      </c>
    </row>
    <row r="70" spans="1:13" customFormat="1">
      <c r="A70" s="101"/>
      <c r="H70" s="93"/>
      <c r="I70" s="93"/>
      <c r="J70" s="87"/>
    </row>
    <row r="71" spans="1:13" customFormat="1">
      <c r="A71" s="101"/>
      <c r="H71" s="93"/>
      <c r="I71" s="93"/>
      <c r="J71" s="87"/>
    </row>
    <row r="72" spans="1:13" customFormat="1">
      <c r="A72" s="101"/>
      <c r="H72" s="93"/>
      <c r="I72" s="93"/>
      <c r="J72" s="87"/>
    </row>
  </sheetData>
  <mergeCells count="16">
    <mergeCell ref="B10:M10"/>
    <mergeCell ref="AE10:AR10"/>
    <mergeCell ref="AE11:AR11"/>
    <mergeCell ref="B5:M5"/>
    <mergeCell ref="AE5:AR5"/>
    <mergeCell ref="B6:M6"/>
    <mergeCell ref="AE6:AR6"/>
    <mergeCell ref="AE7:AR7"/>
    <mergeCell ref="B9:M9"/>
    <mergeCell ref="B4:M4"/>
    <mergeCell ref="AE4:AR4"/>
    <mergeCell ref="B1:M1"/>
    <mergeCell ref="B2:M2"/>
    <mergeCell ref="AE2:AR2"/>
    <mergeCell ref="B3:M3"/>
    <mergeCell ref="AE3:AR3"/>
  </mergeCells>
  <pageMargins left="0.25" right="0.25" top="0.28000000000000003" bottom="0.22" header="0.3" footer="0.3"/>
  <pageSetup paperSize="14" scale="32"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AR221"/>
  <sheetViews>
    <sheetView view="pageBreakPreview" topLeftCell="A202" zoomScale="40" zoomScaleNormal="100" zoomScaleSheetLayoutView="40" workbookViewId="0">
      <selection activeCell="E148" sqref="E148"/>
    </sheetView>
  </sheetViews>
  <sheetFormatPr defaultRowHeight="15"/>
  <cols>
    <col min="1" max="1" width="65.5703125" style="102" customWidth="1"/>
    <col min="2" max="2" width="9.140625" style="28"/>
    <col min="3" max="3" width="36.140625" style="28" customWidth="1"/>
    <col min="4" max="4" width="22" style="28" customWidth="1"/>
    <col min="5" max="5" width="105" style="28" customWidth="1"/>
    <col min="6" max="6" width="63" style="28" customWidth="1"/>
    <col min="7" max="7" width="31.7109375" style="29" customWidth="1"/>
    <col min="8" max="8" width="39.7109375" style="93" customWidth="1"/>
    <col min="9" max="9" width="54.140625" style="93" customWidth="1"/>
    <col min="10" max="10" width="18.42578125" style="87" customWidth="1"/>
    <col min="11" max="11" width="36.7109375" style="28" customWidth="1"/>
    <col min="12" max="12" width="39.85546875" style="28" customWidth="1"/>
    <col min="13" max="14" width="29.5703125" style="28" customWidth="1"/>
    <col min="15" max="16384" width="9.140625" style="28"/>
  </cols>
  <sheetData>
    <row r="1" spans="1:44" s="18" customFormat="1" ht="32.25">
      <c r="A1" s="94"/>
      <c r="B1" s="226" t="s">
        <v>6</v>
      </c>
      <c r="C1" s="226"/>
      <c r="D1" s="226"/>
      <c r="E1" s="226"/>
      <c r="F1" s="226"/>
      <c r="G1" s="226"/>
      <c r="H1" s="226"/>
      <c r="I1" s="226"/>
      <c r="J1" s="226"/>
      <c r="K1" s="226"/>
      <c r="L1" s="226"/>
      <c r="M1" s="226"/>
    </row>
    <row r="2" spans="1:44" s="18" customFormat="1" ht="32.25">
      <c r="A2" s="94"/>
      <c r="B2" s="226" t="s">
        <v>5</v>
      </c>
      <c r="C2" s="226"/>
      <c r="D2" s="226"/>
      <c r="E2" s="226"/>
      <c r="F2" s="226"/>
      <c r="G2" s="226"/>
      <c r="H2" s="226"/>
      <c r="I2" s="226"/>
      <c r="J2" s="226"/>
      <c r="K2" s="226"/>
      <c r="L2" s="226"/>
      <c r="M2" s="226"/>
      <c r="N2" s="19"/>
      <c r="O2" s="19"/>
      <c r="P2" s="19"/>
      <c r="Q2" s="19"/>
      <c r="R2" s="19"/>
      <c r="S2" s="19"/>
      <c r="T2" s="19"/>
      <c r="AE2" s="226"/>
      <c r="AF2" s="226"/>
      <c r="AG2" s="226"/>
      <c r="AH2" s="226"/>
      <c r="AI2" s="226"/>
      <c r="AJ2" s="226"/>
      <c r="AK2" s="226"/>
      <c r="AL2" s="226"/>
      <c r="AM2" s="226"/>
      <c r="AN2" s="226"/>
      <c r="AO2" s="226"/>
      <c r="AP2" s="226"/>
      <c r="AQ2" s="226"/>
      <c r="AR2" s="226"/>
    </row>
    <row r="3" spans="1:44" s="18" customFormat="1" ht="32.25">
      <c r="A3" s="94"/>
      <c r="B3" s="225" t="s">
        <v>4</v>
      </c>
      <c r="C3" s="225"/>
      <c r="D3" s="225"/>
      <c r="E3" s="225"/>
      <c r="F3" s="225"/>
      <c r="G3" s="225"/>
      <c r="H3" s="225"/>
      <c r="I3" s="225"/>
      <c r="J3" s="225"/>
      <c r="K3" s="225"/>
      <c r="L3" s="225"/>
      <c r="M3" s="225"/>
      <c r="N3" s="19"/>
      <c r="O3" s="19"/>
      <c r="P3" s="19"/>
      <c r="Q3" s="19"/>
      <c r="R3" s="19"/>
      <c r="S3" s="19"/>
      <c r="T3" s="19"/>
      <c r="AE3" s="226"/>
      <c r="AF3" s="226"/>
      <c r="AG3" s="226"/>
      <c r="AH3" s="226"/>
      <c r="AI3" s="226"/>
      <c r="AJ3" s="226"/>
      <c r="AK3" s="226"/>
      <c r="AL3" s="226"/>
      <c r="AM3" s="226"/>
      <c r="AN3" s="226"/>
      <c r="AO3" s="226"/>
      <c r="AP3" s="226"/>
      <c r="AQ3" s="226"/>
      <c r="AR3" s="226"/>
    </row>
    <row r="4" spans="1:44" s="18" customFormat="1" ht="32.25">
      <c r="A4" s="94"/>
      <c r="B4" s="225" t="s">
        <v>3</v>
      </c>
      <c r="C4" s="225"/>
      <c r="D4" s="225"/>
      <c r="E4" s="225"/>
      <c r="F4" s="225"/>
      <c r="G4" s="225"/>
      <c r="H4" s="225"/>
      <c r="I4" s="225"/>
      <c r="J4" s="225"/>
      <c r="K4" s="225"/>
      <c r="L4" s="225"/>
      <c r="M4" s="225"/>
      <c r="N4" s="20"/>
      <c r="O4" s="20"/>
      <c r="P4" s="20"/>
      <c r="Q4" s="20"/>
      <c r="R4" s="20"/>
      <c r="S4" s="20"/>
      <c r="T4" s="20"/>
      <c r="AE4" s="225"/>
      <c r="AF4" s="225"/>
      <c r="AG4" s="225"/>
      <c r="AH4" s="225"/>
      <c r="AI4" s="225"/>
      <c r="AJ4" s="225"/>
      <c r="AK4" s="225"/>
      <c r="AL4" s="225"/>
      <c r="AM4" s="225"/>
      <c r="AN4" s="225"/>
      <c r="AO4" s="225"/>
      <c r="AP4" s="225"/>
      <c r="AQ4" s="225"/>
      <c r="AR4" s="225"/>
    </row>
    <row r="5" spans="1:44" s="18" customFormat="1" ht="32.25">
      <c r="A5" s="94"/>
      <c r="B5" s="226" t="s">
        <v>2</v>
      </c>
      <c r="C5" s="226"/>
      <c r="D5" s="226"/>
      <c r="E5" s="226"/>
      <c r="F5" s="226"/>
      <c r="G5" s="226"/>
      <c r="H5" s="226"/>
      <c r="I5" s="226"/>
      <c r="J5" s="226"/>
      <c r="K5" s="226"/>
      <c r="L5" s="226"/>
      <c r="M5" s="226"/>
      <c r="N5" s="20"/>
      <c r="O5" s="20"/>
      <c r="P5" s="20"/>
      <c r="Q5" s="20"/>
      <c r="R5" s="20"/>
      <c r="S5" s="20"/>
      <c r="T5" s="20"/>
      <c r="AE5" s="225"/>
      <c r="AF5" s="225"/>
      <c r="AG5" s="225"/>
      <c r="AH5" s="225"/>
      <c r="AI5" s="225"/>
      <c r="AJ5" s="225"/>
      <c r="AK5" s="225"/>
      <c r="AL5" s="225"/>
      <c r="AM5" s="225"/>
      <c r="AN5" s="225"/>
      <c r="AO5" s="225"/>
      <c r="AP5" s="225"/>
      <c r="AQ5" s="225"/>
      <c r="AR5" s="225"/>
    </row>
    <row r="6" spans="1:44" s="18" customFormat="1" ht="32.25">
      <c r="A6" s="94"/>
      <c r="B6" s="226" t="s">
        <v>1</v>
      </c>
      <c r="C6" s="226"/>
      <c r="D6" s="226"/>
      <c r="E6" s="226"/>
      <c r="F6" s="226"/>
      <c r="G6" s="226"/>
      <c r="H6" s="226"/>
      <c r="I6" s="226"/>
      <c r="J6" s="226"/>
      <c r="K6" s="226"/>
      <c r="L6" s="226"/>
      <c r="M6" s="226"/>
      <c r="N6" s="20"/>
      <c r="O6" s="20"/>
      <c r="P6" s="20"/>
      <c r="Q6" s="20"/>
      <c r="R6" s="20"/>
      <c r="S6" s="20"/>
      <c r="T6" s="20"/>
      <c r="AE6" s="226"/>
      <c r="AF6" s="226"/>
      <c r="AG6" s="226"/>
      <c r="AH6" s="226"/>
      <c r="AI6" s="226"/>
      <c r="AJ6" s="226"/>
      <c r="AK6" s="226"/>
      <c r="AL6" s="226"/>
      <c r="AM6" s="226"/>
      <c r="AN6" s="226"/>
      <c r="AO6" s="226"/>
      <c r="AP6" s="226"/>
      <c r="AQ6" s="226"/>
      <c r="AR6" s="226"/>
    </row>
    <row r="7" spans="1:44" s="18" customFormat="1" ht="32.25">
      <c r="A7" s="94"/>
      <c r="B7" s="21"/>
      <c r="C7" s="135"/>
      <c r="D7" s="21"/>
      <c r="E7" s="135"/>
      <c r="F7" s="135"/>
      <c r="G7" s="135"/>
      <c r="H7" s="88"/>
      <c r="I7" s="88"/>
      <c r="J7" s="80"/>
      <c r="K7" s="58"/>
      <c r="L7" s="58"/>
      <c r="M7" s="135"/>
      <c r="N7" s="20"/>
      <c r="O7" s="20"/>
      <c r="P7" s="20"/>
      <c r="Q7" s="20"/>
      <c r="R7" s="20"/>
      <c r="S7" s="20"/>
      <c r="T7" s="20"/>
      <c r="AE7" s="226"/>
      <c r="AF7" s="226"/>
      <c r="AG7" s="226"/>
      <c r="AH7" s="226"/>
      <c r="AI7" s="226"/>
      <c r="AJ7" s="226"/>
      <c r="AK7" s="226"/>
      <c r="AL7" s="226"/>
      <c r="AM7" s="226"/>
      <c r="AN7" s="226"/>
      <c r="AO7" s="226"/>
      <c r="AP7" s="226"/>
      <c r="AQ7" s="226"/>
      <c r="AR7" s="226"/>
    </row>
    <row r="8" spans="1:44" s="18" customFormat="1" ht="32.25">
      <c r="A8" s="94"/>
      <c r="B8" s="21"/>
      <c r="C8" s="135"/>
      <c r="D8" s="21"/>
      <c r="E8" s="135"/>
      <c r="F8" s="135"/>
      <c r="G8" s="135"/>
      <c r="H8" s="88"/>
      <c r="I8" s="88"/>
      <c r="J8" s="80"/>
      <c r="K8" s="58"/>
      <c r="L8" s="58"/>
      <c r="M8" s="135"/>
      <c r="N8" s="23"/>
      <c r="O8" s="23"/>
      <c r="P8" s="23"/>
      <c r="Q8" s="23"/>
      <c r="R8" s="23"/>
      <c r="S8" s="23"/>
      <c r="T8" s="23"/>
      <c r="AE8" s="21"/>
      <c r="AF8" s="135"/>
      <c r="AG8" s="21"/>
      <c r="AH8" s="135"/>
      <c r="AI8" s="135"/>
      <c r="AJ8" s="135"/>
      <c r="AK8" s="135"/>
      <c r="AL8" s="135"/>
      <c r="AM8" s="58"/>
      <c r="AN8" s="58"/>
      <c r="AO8" s="58"/>
      <c r="AP8" s="135"/>
      <c r="AQ8" s="135"/>
      <c r="AR8" s="135"/>
    </row>
    <row r="9" spans="1:44" s="25" customFormat="1" ht="32.25">
      <c r="A9" s="94"/>
      <c r="B9" s="225" t="s">
        <v>13</v>
      </c>
      <c r="C9" s="225"/>
      <c r="D9" s="225"/>
      <c r="E9" s="225"/>
      <c r="F9" s="225"/>
      <c r="G9" s="225"/>
      <c r="H9" s="225"/>
      <c r="I9" s="225"/>
      <c r="J9" s="225"/>
      <c r="K9" s="225"/>
      <c r="L9" s="225"/>
      <c r="M9" s="225"/>
      <c r="N9" s="24"/>
      <c r="O9" s="24"/>
      <c r="P9" s="24"/>
      <c r="Q9" s="24"/>
      <c r="R9" s="24"/>
      <c r="S9" s="24"/>
      <c r="T9" s="24"/>
      <c r="AE9" s="21"/>
      <c r="AF9" s="135"/>
      <c r="AG9" s="21"/>
      <c r="AH9" s="135"/>
      <c r="AI9" s="135"/>
      <c r="AJ9" s="135"/>
      <c r="AK9" s="135"/>
      <c r="AL9" s="135"/>
      <c r="AM9" s="58"/>
      <c r="AN9" s="58"/>
      <c r="AO9" s="58"/>
      <c r="AP9" s="135"/>
      <c r="AQ9" s="135"/>
      <c r="AR9" s="135"/>
    </row>
    <row r="10" spans="1:44" s="25" customFormat="1" ht="32.25">
      <c r="A10" s="94"/>
      <c r="B10" s="225" t="s">
        <v>14</v>
      </c>
      <c r="C10" s="225"/>
      <c r="D10" s="225"/>
      <c r="E10" s="225"/>
      <c r="F10" s="225"/>
      <c r="G10" s="225"/>
      <c r="H10" s="225"/>
      <c r="I10" s="225"/>
      <c r="J10" s="225"/>
      <c r="K10" s="225"/>
      <c r="L10" s="225"/>
      <c r="M10" s="225"/>
      <c r="N10" s="24"/>
      <c r="O10" s="24"/>
      <c r="P10" s="24"/>
      <c r="Q10" s="24"/>
      <c r="R10" s="24"/>
      <c r="S10" s="24"/>
      <c r="T10" s="24"/>
      <c r="AE10" s="225"/>
      <c r="AF10" s="225"/>
      <c r="AG10" s="225"/>
      <c r="AH10" s="225"/>
      <c r="AI10" s="225"/>
      <c r="AJ10" s="225"/>
      <c r="AK10" s="225"/>
      <c r="AL10" s="225"/>
      <c r="AM10" s="225"/>
      <c r="AN10" s="225"/>
      <c r="AO10" s="225"/>
      <c r="AP10" s="225"/>
      <c r="AQ10" s="225"/>
      <c r="AR10" s="225"/>
    </row>
    <row r="11" spans="1:44" s="18" customFormat="1" ht="14.25" customHeight="1">
      <c r="A11" s="94"/>
      <c r="B11" s="60"/>
      <c r="C11" s="60"/>
      <c r="D11" s="60"/>
      <c r="E11" s="60"/>
      <c r="F11" s="60"/>
      <c r="G11" s="60"/>
      <c r="H11" s="89"/>
      <c r="I11" s="89"/>
      <c r="J11" s="81"/>
      <c r="K11" s="60"/>
      <c r="L11" s="60"/>
      <c r="M11" s="60"/>
      <c r="N11" s="19"/>
      <c r="O11" s="19"/>
      <c r="P11" s="19"/>
      <c r="Q11" s="19"/>
      <c r="R11" s="19"/>
      <c r="S11" s="19"/>
      <c r="T11" s="19"/>
      <c r="AE11" s="225"/>
      <c r="AF11" s="225"/>
      <c r="AG11" s="225"/>
      <c r="AH11" s="225"/>
      <c r="AI11" s="225"/>
      <c r="AJ11" s="225"/>
      <c r="AK11" s="225"/>
      <c r="AL11" s="225"/>
      <c r="AM11" s="225"/>
      <c r="AN11" s="225"/>
      <c r="AO11" s="225"/>
      <c r="AP11" s="225"/>
      <c r="AQ11" s="225"/>
      <c r="AR11" s="225"/>
    </row>
    <row r="12" spans="1:44" ht="15.75" customHeight="1" thickBot="1">
      <c r="A12" s="94"/>
      <c r="B12" s="60"/>
      <c r="C12" s="60"/>
      <c r="D12" s="60"/>
      <c r="E12" s="60"/>
      <c r="F12" s="60"/>
      <c r="G12" s="60"/>
      <c r="H12" s="89"/>
      <c r="I12" s="89"/>
      <c r="J12" s="81"/>
      <c r="K12" s="60"/>
      <c r="L12" s="60"/>
      <c r="M12" s="60"/>
      <c r="AE12" s="26"/>
      <c r="AF12" s="27"/>
      <c r="AG12" s="26"/>
      <c r="AH12" s="27"/>
      <c r="AI12" s="27"/>
      <c r="AJ12" s="27"/>
      <c r="AK12" s="27"/>
      <c r="AL12" s="27"/>
      <c r="AM12" s="59"/>
      <c r="AN12" s="59"/>
      <c r="AO12" s="59"/>
      <c r="AP12" s="27"/>
      <c r="AQ12" s="27"/>
      <c r="AR12" s="27"/>
    </row>
    <row r="13" spans="1:44" s="34" customFormat="1" ht="87" customHeight="1" thickBot="1">
      <c r="A13" s="95"/>
      <c r="B13" s="61" t="s">
        <v>15</v>
      </c>
      <c r="C13" s="30" t="s">
        <v>16</v>
      </c>
      <c r="D13" s="31" t="s">
        <v>17</v>
      </c>
      <c r="E13" s="31" t="s">
        <v>18</v>
      </c>
      <c r="F13" s="32" t="s">
        <v>19</v>
      </c>
      <c r="G13" s="30" t="s">
        <v>20</v>
      </c>
      <c r="H13" s="90" t="s">
        <v>21</v>
      </c>
      <c r="I13" s="91" t="s">
        <v>22</v>
      </c>
      <c r="J13" s="82" t="s">
        <v>23</v>
      </c>
      <c r="K13" s="31" t="s">
        <v>24</v>
      </c>
      <c r="L13" s="31" t="s">
        <v>25</v>
      </c>
      <c r="M13" s="33" t="s">
        <v>26</v>
      </c>
      <c r="AE13" s="28"/>
      <c r="AF13" s="28"/>
      <c r="AG13" s="28"/>
      <c r="AH13" s="28"/>
      <c r="AI13" s="28"/>
      <c r="AJ13" s="28"/>
      <c r="AK13" s="28"/>
      <c r="AL13" s="29"/>
      <c r="AM13" s="57"/>
      <c r="AN13" s="57"/>
      <c r="AO13" s="57"/>
      <c r="AP13" s="28"/>
      <c r="AQ13" s="28"/>
      <c r="AR13" s="28"/>
    </row>
    <row r="14" spans="1:44" s="116" customFormat="1" ht="102" customHeight="1">
      <c r="A14" s="105" t="str">
        <f t="shared" ref="A14:A77" si="0">D14&amp;M14</f>
        <v>21EB0123ADVANCE PAYMENT BOND</v>
      </c>
      <c r="B14" s="106">
        <v>1</v>
      </c>
      <c r="C14" s="119" t="s">
        <v>36</v>
      </c>
      <c r="D14" s="108" t="s">
        <v>83</v>
      </c>
      <c r="E14" s="109" t="s">
        <v>84</v>
      </c>
      <c r="F14" s="110">
        <v>705781.82</v>
      </c>
      <c r="G14" s="111">
        <v>44659</v>
      </c>
      <c r="H14" s="111">
        <v>44659</v>
      </c>
      <c r="I14" s="111">
        <v>45024</v>
      </c>
      <c r="J14" s="113" t="s">
        <v>30</v>
      </c>
      <c r="K14" s="114" t="s">
        <v>85</v>
      </c>
      <c r="L14" s="115" t="s">
        <v>28</v>
      </c>
      <c r="M14" s="107" t="s">
        <v>34</v>
      </c>
    </row>
    <row r="15" spans="1:44" s="116" customFormat="1" ht="102" customHeight="1">
      <c r="A15" s="105" t="str">
        <f t="shared" si="0"/>
        <v>21EB0121ADVANCE PAYMENT BOND</v>
      </c>
      <c r="B15" s="106">
        <v>2</v>
      </c>
      <c r="C15" s="119" t="s">
        <v>36</v>
      </c>
      <c r="D15" s="108" t="s">
        <v>87</v>
      </c>
      <c r="E15" s="109" t="s">
        <v>86</v>
      </c>
      <c r="F15" s="110">
        <v>705843.77</v>
      </c>
      <c r="G15" s="111">
        <v>44659</v>
      </c>
      <c r="H15" s="111">
        <v>44659</v>
      </c>
      <c r="I15" s="111">
        <v>45024</v>
      </c>
      <c r="J15" s="113" t="s">
        <v>30</v>
      </c>
      <c r="K15" s="114" t="s">
        <v>88</v>
      </c>
      <c r="L15" s="115" t="s">
        <v>28</v>
      </c>
      <c r="M15" s="107" t="s">
        <v>34</v>
      </c>
    </row>
    <row r="16" spans="1:44" s="116" customFormat="1" ht="102" customHeight="1">
      <c r="A16" s="105" t="str">
        <f t="shared" si="0"/>
        <v>21EB0121PERFORMANCE BOND</v>
      </c>
      <c r="B16" s="106">
        <v>3</v>
      </c>
      <c r="C16" s="119" t="s">
        <v>36</v>
      </c>
      <c r="D16" s="108" t="s">
        <v>87</v>
      </c>
      <c r="E16" s="109" t="s">
        <v>86</v>
      </c>
      <c r="F16" s="110">
        <v>1411687.64</v>
      </c>
      <c r="G16" s="111">
        <v>44650</v>
      </c>
      <c r="H16" s="111">
        <v>44650</v>
      </c>
      <c r="I16" s="111">
        <v>45381</v>
      </c>
      <c r="J16" s="113" t="s">
        <v>27</v>
      </c>
      <c r="K16" s="114" t="s">
        <v>89</v>
      </c>
      <c r="L16" s="115" t="s">
        <v>28</v>
      </c>
      <c r="M16" s="107" t="s">
        <v>40</v>
      </c>
    </row>
    <row r="17" spans="1:13" s="116" customFormat="1" ht="102" customHeight="1">
      <c r="A17" s="105" t="str">
        <f t="shared" si="0"/>
        <v>21EB0121CONTRACTOR'S ALL RISK POLICY</v>
      </c>
      <c r="B17" s="106">
        <v>4</v>
      </c>
      <c r="C17" s="119" t="s">
        <v>36</v>
      </c>
      <c r="D17" s="108" t="s">
        <v>87</v>
      </c>
      <c r="E17" s="109" t="s">
        <v>86</v>
      </c>
      <c r="F17" s="110">
        <v>4705625.1500000004</v>
      </c>
      <c r="G17" s="111">
        <v>44650</v>
      </c>
      <c r="H17" s="111">
        <v>44650</v>
      </c>
      <c r="I17" s="111">
        <v>45015</v>
      </c>
      <c r="J17" s="113" t="s">
        <v>30</v>
      </c>
      <c r="K17" s="114" t="s">
        <v>90</v>
      </c>
      <c r="L17" s="115" t="s">
        <v>28</v>
      </c>
      <c r="M17" s="107" t="s">
        <v>31</v>
      </c>
    </row>
    <row r="18" spans="1:13" s="116" customFormat="1" ht="102" customHeight="1">
      <c r="A18" s="105" t="str">
        <f t="shared" si="0"/>
        <v>21EB0123CONTRACTOR'S ALL RISK POLICY</v>
      </c>
      <c r="B18" s="106">
        <v>5</v>
      </c>
      <c r="C18" s="119" t="s">
        <v>36</v>
      </c>
      <c r="D18" s="108" t="s">
        <v>83</v>
      </c>
      <c r="E18" s="109" t="s">
        <v>84</v>
      </c>
      <c r="F18" s="110">
        <v>4705212.1399999997</v>
      </c>
      <c r="G18" s="111">
        <v>44650</v>
      </c>
      <c r="H18" s="111">
        <v>44650</v>
      </c>
      <c r="I18" s="111">
        <v>45015</v>
      </c>
      <c r="J18" s="113" t="s">
        <v>30</v>
      </c>
      <c r="K18" s="114" t="s">
        <v>91</v>
      </c>
      <c r="L18" s="115" t="s">
        <v>28</v>
      </c>
      <c r="M18" s="107" t="s">
        <v>31</v>
      </c>
    </row>
    <row r="19" spans="1:13" s="120" customFormat="1" ht="102" customHeight="1">
      <c r="A19" s="105" t="str">
        <f t="shared" si="0"/>
        <v>21EB0141ADVANCE PAYMENT BOND</v>
      </c>
      <c r="B19" s="106">
        <v>6</v>
      </c>
      <c r="C19" s="119" t="s">
        <v>92</v>
      </c>
      <c r="D19" s="108" t="s">
        <v>93</v>
      </c>
      <c r="E19" s="109" t="s">
        <v>94</v>
      </c>
      <c r="F19" s="110">
        <v>557008.47</v>
      </c>
      <c r="G19" s="111">
        <v>44658</v>
      </c>
      <c r="H19" s="111">
        <v>44658</v>
      </c>
      <c r="I19" s="111">
        <v>45023</v>
      </c>
      <c r="J19" s="113" t="s">
        <v>30</v>
      </c>
      <c r="K19" s="114" t="s">
        <v>95</v>
      </c>
      <c r="L19" s="115" t="s">
        <v>35</v>
      </c>
      <c r="M19" s="107" t="s">
        <v>34</v>
      </c>
    </row>
    <row r="20" spans="1:13" s="120" customFormat="1" ht="102" customHeight="1">
      <c r="A20" s="105" t="str">
        <f t="shared" si="0"/>
        <v>21EB0144ADVANCE PAYMENT BOND</v>
      </c>
      <c r="B20" s="106">
        <v>7</v>
      </c>
      <c r="C20" s="119" t="s">
        <v>92</v>
      </c>
      <c r="D20" s="108" t="s">
        <v>96</v>
      </c>
      <c r="E20" s="109" t="s">
        <v>97</v>
      </c>
      <c r="F20" s="110">
        <v>400571.16</v>
      </c>
      <c r="G20" s="111">
        <v>44658</v>
      </c>
      <c r="H20" s="111">
        <v>44658</v>
      </c>
      <c r="I20" s="111">
        <v>45023</v>
      </c>
      <c r="J20" s="113" t="s">
        <v>30</v>
      </c>
      <c r="K20" s="114" t="s">
        <v>98</v>
      </c>
      <c r="L20" s="115" t="s">
        <v>35</v>
      </c>
      <c r="M20" s="107" t="s">
        <v>34</v>
      </c>
    </row>
    <row r="21" spans="1:13" s="120" customFormat="1" ht="102" customHeight="1">
      <c r="A21" s="105" t="str">
        <f t="shared" si="0"/>
        <v>21EB0139ADVANCE PAYMENT BOND</v>
      </c>
      <c r="B21" s="106">
        <v>8</v>
      </c>
      <c r="C21" s="119" t="s">
        <v>92</v>
      </c>
      <c r="D21" s="108" t="s">
        <v>99</v>
      </c>
      <c r="E21" s="109" t="s">
        <v>100</v>
      </c>
      <c r="F21" s="110">
        <v>334263.25</v>
      </c>
      <c r="G21" s="111">
        <v>44658</v>
      </c>
      <c r="H21" s="111">
        <v>44658</v>
      </c>
      <c r="I21" s="111">
        <v>45023</v>
      </c>
      <c r="J21" s="113" t="s">
        <v>30</v>
      </c>
      <c r="K21" s="114" t="s">
        <v>101</v>
      </c>
      <c r="L21" s="115" t="s">
        <v>35</v>
      </c>
      <c r="M21" s="107" t="s">
        <v>34</v>
      </c>
    </row>
    <row r="22" spans="1:13" s="120" customFormat="1" ht="102" customHeight="1">
      <c r="A22" s="105" t="str">
        <f t="shared" si="0"/>
        <v>21EB0146ADVANCE PAYMENT BOND</v>
      </c>
      <c r="B22" s="106">
        <v>9</v>
      </c>
      <c r="C22" s="119" t="s">
        <v>92</v>
      </c>
      <c r="D22" s="108" t="s">
        <v>102</v>
      </c>
      <c r="E22" s="109" t="s">
        <v>103</v>
      </c>
      <c r="F22" s="110">
        <v>401711.13</v>
      </c>
      <c r="G22" s="111">
        <v>44658</v>
      </c>
      <c r="H22" s="111">
        <v>44658</v>
      </c>
      <c r="I22" s="111">
        <v>45023</v>
      </c>
      <c r="J22" s="113" t="s">
        <v>30</v>
      </c>
      <c r="K22" s="114" t="s">
        <v>104</v>
      </c>
      <c r="L22" s="115" t="s">
        <v>35</v>
      </c>
      <c r="M22" s="107" t="s">
        <v>34</v>
      </c>
    </row>
    <row r="23" spans="1:13" s="120" customFormat="1" ht="102" customHeight="1">
      <c r="A23" s="105" t="str">
        <f t="shared" si="0"/>
        <v>21EB0141PERFORMANCE BOND</v>
      </c>
      <c r="B23" s="106">
        <v>10</v>
      </c>
      <c r="C23" s="119" t="s">
        <v>92</v>
      </c>
      <c r="D23" s="108" t="s">
        <v>93</v>
      </c>
      <c r="E23" s="109" t="s">
        <v>94</v>
      </c>
      <c r="F23" s="110">
        <v>1114016.94</v>
      </c>
      <c r="G23" s="111">
        <v>44655</v>
      </c>
      <c r="H23" s="111">
        <v>44655</v>
      </c>
      <c r="I23" s="111">
        <v>45386</v>
      </c>
      <c r="J23" s="113" t="s">
        <v>27</v>
      </c>
      <c r="K23" s="114" t="s">
        <v>107</v>
      </c>
      <c r="L23" s="115" t="s">
        <v>35</v>
      </c>
      <c r="M23" s="107" t="s">
        <v>40</v>
      </c>
    </row>
    <row r="24" spans="1:13" s="120" customFormat="1" ht="93.75" customHeight="1">
      <c r="A24" s="105" t="str">
        <f t="shared" si="0"/>
        <v>21EB0157RETENTION BOND</v>
      </c>
      <c r="B24" s="106">
        <v>11</v>
      </c>
      <c r="C24" s="119" t="s">
        <v>58</v>
      </c>
      <c r="D24" s="108" t="s">
        <v>105</v>
      </c>
      <c r="E24" s="109" t="s">
        <v>106</v>
      </c>
      <c r="F24" s="110">
        <v>674270</v>
      </c>
      <c r="G24" s="111">
        <v>44657</v>
      </c>
      <c r="H24" s="111">
        <v>44657</v>
      </c>
      <c r="I24" s="111">
        <v>45022</v>
      </c>
      <c r="J24" s="113" t="s">
        <v>30</v>
      </c>
      <c r="K24" s="114" t="s">
        <v>108</v>
      </c>
      <c r="L24" s="115" t="s">
        <v>35</v>
      </c>
      <c r="M24" s="107" t="s">
        <v>33</v>
      </c>
    </row>
    <row r="25" spans="1:13" s="120" customFormat="1" ht="102" customHeight="1">
      <c r="A25" s="105" t="str">
        <f t="shared" si="0"/>
        <v>21EB0141CONTRACTOR'S ALL RISK POLICY</v>
      </c>
      <c r="B25" s="106">
        <v>12</v>
      </c>
      <c r="C25" s="119" t="s">
        <v>92</v>
      </c>
      <c r="D25" s="108" t="s">
        <v>93</v>
      </c>
      <c r="E25" s="109" t="s">
        <v>94</v>
      </c>
      <c r="F25" s="110">
        <v>1299686.43</v>
      </c>
      <c r="G25" s="111">
        <v>44655</v>
      </c>
      <c r="H25" s="111">
        <v>44655</v>
      </c>
      <c r="I25" s="111">
        <v>45020</v>
      </c>
      <c r="J25" s="113" t="s">
        <v>30</v>
      </c>
      <c r="K25" s="114" t="s">
        <v>109</v>
      </c>
      <c r="L25" s="115" t="s">
        <v>35</v>
      </c>
      <c r="M25" s="107" t="s">
        <v>31</v>
      </c>
    </row>
    <row r="26" spans="1:13" s="120" customFormat="1" ht="102" customHeight="1">
      <c r="A26" s="105" t="str">
        <f t="shared" si="0"/>
        <v>21EB0139CONTRACTOR'S ALL RISK POLICY</v>
      </c>
      <c r="B26" s="106">
        <v>13</v>
      </c>
      <c r="C26" s="119" t="s">
        <v>92</v>
      </c>
      <c r="D26" s="108" t="s">
        <v>99</v>
      </c>
      <c r="E26" s="109" t="s">
        <v>100</v>
      </c>
      <c r="F26" s="110">
        <v>2228421.65</v>
      </c>
      <c r="G26" s="111">
        <v>44655</v>
      </c>
      <c r="H26" s="111">
        <v>44655</v>
      </c>
      <c r="I26" s="111">
        <v>45020</v>
      </c>
      <c r="J26" s="113" t="s">
        <v>30</v>
      </c>
      <c r="K26" s="114" t="s">
        <v>110</v>
      </c>
      <c r="L26" s="115" t="s">
        <v>35</v>
      </c>
      <c r="M26" s="107" t="s">
        <v>31</v>
      </c>
    </row>
    <row r="27" spans="1:13" s="120" customFormat="1" ht="102" customHeight="1">
      <c r="A27" s="105" t="str">
        <f t="shared" si="0"/>
        <v>21EB0144CONTRACTOR'S ALL RISK POLICY</v>
      </c>
      <c r="B27" s="106">
        <v>14</v>
      </c>
      <c r="C27" s="119" t="s">
        <v>92</v>
      </c>
      <c r="D27" s="108" t="s">
        <v>96</v>
      </c>
      <c r="E27" s="109" t="s">
        <v>97</v>
      </c>
      <c r="F27" s="110">
        <v>2670474.41</v>
      </c>
      <c r="G27" s="111">
        <v>44655</v>
      </c>
      <c r="H27" s="111">
        <v>44655</v>
      </c>
      <c r="I27" s="111">
        <v>45020</v>
      </c>
      <c r="J27" s="113" t="s">
        <v>30</v>
      </c>
      <c r="K27" s="114" t="s">
        <v>111</v>
      </c>
      <c r="L27" s="115" t="s">
        <v>35</v>
      </c>
      <c r="M27" s="107" t="s">
        <v>31</v>
      </c>
    </row>
    <row r="28" spans="1:13" s="120" customFormat="1" ht="102" customHeight="1">
      <c r="A28" s="105" t="str">
        <f t="shared" si="0"/>
        <v>21EB0146CONTRACTOR'S ALL RISK POLICY</v>
      </c>
      <c r="B28" s="106">
        <v>15</v>
      </c>
      <c r="C28" s="119" t="s">
        <v>92</v>
      </c>
      <c r="D28" s="108" t="s">
        <v>102</v>
      </c>
      <c r="E28" s="109" t="s">
        <v>103</v>
      </c>
      <c r="F28" s="110">
        <v>2674514.19</v>
      </c>
      <c r="G28" s="111">
        <v>44655</v>
      </c>
      <c r="H28" s="111">
        <v>44655</v>
      </c>
      <c r="I28" s="111">
        <v>45020</v>
      </c>
      <c r="J28" s="113" t="s">
        <v>30</v>
      </c>
      <c r="K28" s="114" t="s">
        <v>112</v>
      </c>
      <c r="L28" s="115" t="s">
        <v>35</v>
      </c>
      <c r="M28" s="107" t="s">
        <v>31</v>
      </c>
    </row>
    <row r="29" spans="1:13" s="120" customFormat="1" ht="102" customHeight="1">
      <c r="A29" s="105" t="str">
        <f t="shared" si="0"/>
        <v>21EB0146PERFORMANCE BOND</v>
      </c>
      <c r="B29" s="106">
        <v>16</v>
      </c>
      <c r="C29" s="119" t="s">
        <v>92</v>
      </c>
      <c r="D29" s="108" t="s">
        <v>102</v>
      </c>
      <c r="E29" s="109" t="s">
        <v>103</v>
      </c>
      <c r="F29" s="110">
        <v>802354.26</v>
      </c>
      <c r="G29" s="111">
        <v>44655</v>
      </c>
      <c r="H29" s="111">
        <v>44655</v>
      </c>
      <c r="I29" s="111">
        <v>45386</v>
      </c>
      <c r="J29" s="113" t="s">
        <v>27</v>
      </c>
      <c r="K29" s="114" t="s">
        <v>113</v>
      </c>
      <c r="L29" s="115" t="s">
        <v>35</v>
      </c>
      <c r="M29" s="107" t="s">
        <v>40</v>
      </c>
    </row>
    <row r="30" spans="1:13" s="120" customFormat="1" ht="102" customHeight="1">
      <c r="A30" s="105" t="str">
        <f t="shared" si="0"/>
        <v>21EB0139PERFORMANCE BOND</v>
      </c>
      <c r="B30" s="106">
        <v>17</v>
      </c>
      <c r="C30" s="119" t="s">
        <v>92</v>
      </c>
      <c r="D30" s="108" t="s">
        <v>99</v>
      </c>
      <c r="E30" s="109" t="s">
        <v>100</v>
      </c>
      <c r="F30" s="110">
        <v>668526.5</v>
      </c>
      <c r="G30" s="111">
        <v>44655</v>
      </c>
      <c r="H30" s="111">
        <v>44655</v>
      </c>
      <c r="I30" s="111">
        <v>45386</v>
      </c>
      <c r="J30" s="113" t="s">
        <v>27</v>
      </c>
      <c r="K30" s="114" t="s">
        <v>114</v>
      </c>
      <c r="L30" s="115" t="s">
        <v>35</v>
      </c>
      <c r="M30" s="107" t="s">
        <v>40</v>
      </c>
    </row>
    <row r="31" spans="1:13" s="120" customFormat="1" ht="102" customHeight="1">
      <c r="A31" s="105" t="str">
        <f t="shared" si="0"/>
        <v>21EB0144PERFORMANCE BOND</v>
      </c>
      <c r="B31" s="106">
        <v>18</v>
      </c>
      <c r="C31" s="119" t="s">
        <v>92</v>
      </c>
      <c r="D31" s="108" t="s">
        <v>96</v>
      </c>
      <c r="E31" s="109" t="s">
        <v>97</v>
      </c>
      <c r="F31" s="110">
        <v>801142.32</v>
      </c>
      <c r="G31" s="111">
        <v>44655</v>
      </c>
      <c r="H31" s="111">
        <v>44655</v>
      </c>
      <c r="I31" s="111">
        <v>45386</v>
      </c>
      <c r="J31" s="113" t="s">
        <v>27</v>
      </c>
      <c r="K31" s="114" t="s">
        <v>115</v>
      </c>
      <c r="L31" s="115" t="s">
        <v>35</v>
      </c>
      <c r="M31" s="107" t="s">
        <v>40</v>
      </c>
    </row>
    <row r="32" spans="1:13" s="116" customFormat="1" ht="102" customHeight="1">
      <c r="A32" s="105" t="str">
        <f t="shared" si="0"/>
        <v>21EB0123PERFORMANCE BOND</v>
      </c>
      <c r="B32" s="106">
        <v>19</v>
      </c>
      <c r="C32" s="119" t="s">
        <v>36</v>
      </c>
      <c r="D32" s="108" t="s">
        <v>83</v>
      </c>
      <c r="E32" s="109" t="s">
        <v>84</v>
      </c>
      <c r="F32" s="110">
        <v>1411563.64</v>
      </c>
      <c r="G32" s="111">
        <v>44650</v>
      </c>
      <c r="H32" s="111">
        <v>44650</v>
      </c>
      <c r="I32" s="111">
        <v>45381</v>
      </c>
      <c r="J32" s="113" t="s">
        <v>27</v>
      </c>
      <c r="K32" s="114" t="s">
        <v>116</v>
      </c>
      <c r="L32" s="115" t="s">
        <v>28</v>
      </c>
      <c r="M32" s="107" t="s">
        <v>40</v>
      </c>
    </row>
    <row r="33" spans="1:13" s="116" customFormat="1" ht="79.5" customHeight="1">
      <c r="A33" s="105" t="str">
        <f t="shared" si="0"/>
        <v>22EB0091CONTRACTOR'S ALL RISK POLICY</v>
      </c>
      <c r="B33" s="106">
        <v>20</v>
      </c>
      <c r="C33" s="119" t="s">
        <v>72</v>
      </c>
      <c r="D33" s="108" t="s">
        <v>117</v>
      </c>
      <c r="E33" s="109" t="s">
        <v>118</v>
      </c>
      <c r="F33" s="110">
        <v>7884000.4299999997</v>
      </c>
      <c r="G33" s="111">
        <v>44630</v>
      </c>
      <c r="H33" s="111">
        <v>44630</v>
      </c>
      <c r="I33" s="112">
        <v>45129</v>
      </c>
      <c r="J33" s="113" t="s">
        <v>30</v>
      </c>
      <c r="K33" s="114" t="s">
        <v>119</v>
      </c>
      <c r="L33" s="115" t="s">
        <v>28</v>
      </c>
      <c r="M33" s="107" t="s">
        <v>31</v>
      </c>
    </row>
    <row r="34" spans="1:13" s="116" customFormat="1" ht="79.5" customHeight="1">
      <c r="A34" s="105" t="str">
        <f t="shared" si="0"/>
        <v>22EB0091PERFORMANCE BOND</v>
      </c>
      <c r="B34" s="106">
        <v>21</v>
      </c>
      <c r="C34" s="119" t="s">
        <v>72</v>
      </c>
      <c r="D34" s="108" t="s">
        <v>117</v>
      </c>
      <c r="E34" s="109" t="s">
        <v>118</v>
      </c>
      <c r="F34" s="110">
        <v>2365200.13</v>
      </c>
      <c r="G34" s="111">
        <v>44630</v>
      </c>
      <c r="H34" s="111">
        <v>44630</v>
      </c>
      <c r="I34" s="112">
        <v>45495</v>
      </c>
      <c r="J34" s="113" t="s">
        <v>27</v>
      </c>
      <c r="K34" s="114" t="s">
        <v>120</v>
      </c>
      <c r="L34" s="115" t="s">
        <v>28</v>
      </c>
      <c r="M34" s="107" t="s">
        <v>40</v>
      </c>
    </row>
    <row r="35" spans="1:13" s="116" customFormat="1" ht="79.5" customHeight="1">
      <c r="A35" s="105" t="str">
        <f t="shared" si="0"/>
        <v>22EB0091ADVANCE PAYMENT BOND</v>
      </c>
      <c r="B35" s="106">
        <v>22</v>
      </c>
      <c r="C35" s="119" t="s">
        <v>72</v>
      </c>
      <c r="D35" s="108" t="s">
        <v>117</v>
      </c>
      <c r="E35" s="109" t="s">
        <v>118</v>
      </c>
      <c r="F35" s="110">
        <v>1182600.06</v>
      </c>
      <c r="G35" s="111">
        <v>44648</v>
      </c>
      <c r="H35" s="111">
        <v>44648</v>
      </c>
      <c r="I35" s="111">
        <v>45013</v>
      </c>
      <c r="J35" s="113" t="s">
        <v>30</v>
      </c>
      <c r="K35" s="114" t="s">
        <v>121</v>
      </c>
      <c r="L35" s="115" t="s">
        <v>28</v>
      </c>
      <c r="M35" s="107" t="s">
        <v>34</v>
      </c>
    </row>
    <row r="36" spans="1:13" s="116" customFormat="1" ht="135.75" customHeight="1">
      <c r="A36" s="105" t="str">
        <f t="shared" si="0"/>
        <v>22EB0032ADVANCE PAYMENT BOND</v>
      </c>
      <c r="B36" s="106">
        <v>23</v>
      </c>
      <c r="C36" s="119" t="s">
        <v>44</v>
      </c>
      <c r="D36" s="108" t="s">
        <v>122</v>
      </c>
      <c r="E36" s="109" t="s">
        <v>123</v>
      </c>
      <c r="F36" s="110">
        <v>4266675</v>
      </c>
      <c r="G36" s="111">
        <v>44659</v>
      </c>
      <c r="H36" s="111">
        <v>44659</v>
      </c>
      <c r="I36" s="111">
        <v>45024</v>
      </c>
      <c r="J36" s="113" t="s">
        <v>30</v>
      </c>
      <c r="K36" s="114" t="s">
        <v>124</v>
      </c>
      <c r="L36" s="115" t="s">
        <v>69</v>
      </c>
      <c r="M36" s="107" t="s">
        <v>34</v>
      </c>
    </row>
    <row r="37" spans="1:13" s="116" customFormat="1" ht="79.5" customHeight="1">
      <c r="A37" s="105" t="str">
        <f t="shared" si="0"/>
        <v>22EB0009ADVANCE PAYMENT BOND</v>
      </c>
      <c r="B37" s="106">
        <v>24</v>
      </c>
      <c r="C37" s="119" t="s">
        <v>76</v>
      </c>
      <c r="D37" s="108" t="s">
        <v>125</v>
      </c>
      <c r="E37" s="109" t="s">
        <v>126</v>
      </c>
      <c r="F37" s="110">
        <v>5953733.4100000001</v>
      </c>
      <c r="G37" s="111">
        <v>44659</v>
      </c>
      <c r="H37" s="111">
        <v>44659</v>
      </c>
      <c r="I37" s="111">
        <v>45024</v>
      </c>
      <c r="J37" s="113" t="s">
        <v>30</v>
      </c>
      <c r="K37" s="114" t="s">
        <v>127</v>
      </c>
      <c r="L37" s="115" t="s">
        <v>69</v>
      </c>
      <c r="M37" s="107" t="s">
        <v>34</v>
      </c>
    </row>
    <row r="38" spans="1:13" s="116" customFormat="1" ht="79.5" customHeight="1">
      <c r="A38" s="105" t="str">
        <f t="shared" si="0"/>
        <v>22EB0009CONTRACTOR'S ALL RISK POLICY</v>
      </c>
      <c r="B38" s="106">
        <v>25</v>
      </c>
      <c r="C38" s="119" t="s">
        <v>76</v>
      </c>
      <c r="D38" s="108" t="s">
        <v>125</v>
      </c>
      <c r="E38" s="109" t="s">
        <v>126</v>
      </c>
      <c r="F38" s="110">
        <v>39691556.049999997</v>
      </c>
      <c r="G38" s="111">
        <v>44648</v>
      </c>
      <c r="H38" s="111">
        <v>44648</v>
      </c>
      <c r="I38" s="111">
        <v>45013</v>
      </c>
      <c r="J38" s="113" t="s">
        <v>30</v>
      </c>
      <c r="K38" s="114" t="s">
        <v>128</v>
      </c>
      <c r="L38" s="115" t="s">
        <v>69</v>
      </c>
      <c r="M38" s="107" t="s">
        <v>31</v>
      </c>
    </row>
    <row r="39" spans="1:13" s="116" customFormat="1" ht="135.75" customHeight="1">
      <c r="A39" s="105" t="str">
        <f t="shared" si="0"/>
        <v>22EB0032CONTRACTOR'S ALL RISK POLICY</v>
      </c>
      <c r="B39" s="106">
        <v>26</v>
      </c>
      <c r="C39" s="119" t="s">
        <v>44</v>
      </c>
      <c r="D39" s="108" t="s">
        <v>122</v>
      </c>
      <c r="E39" s="109" t="s">
        <v>123</v>
      </c>
      <c r="F39" s="110">
        <v>28444500</v>
      </c>
      <c r="G39" s="111">
        <v>44648</v>
      </c>
      <c r="H39" s="111">
        <v>44648</v>
      </c>
      <c r="I39" s="111">
        <v>45013</v>
      </c>
      <c r="J39" s="113" t="s">
        <v>30</v>
      </c>
      <c r="K39" s="114" t="s">
        <v>129</v>
      </c>
      <c r="L39" s="115" t="s">
        <v>69</v>
      </c>
      <c r="M39" s="107" t="s">
        <v>31</v>
      </c>
    </row>
    <row r="40" spans="1:13" s="116" customFormat="1" ht="79.5" customHeight="1">
      <c r="A40" s="105" t="str">
        <f t="shared" si="0"/>
        <v>22EB0009PERFORMANCE BOND</v>
      </c>
      <c r="B40" s="106">
        <v>27</v>
      </c>
      <c r="C40" s="119" t="s">
        <v>76</v>
      </c>
      <c r="D40" s="108" t="s">
        <v>125</v>
      </c>
      <c r="E40" s="109" t="s">
        <v>126</v>
      </c>
      <c r="F40" s="110">
        <v>11907466.82</v>
      </c>
      <c r="G40" s="111">
        <v>44648</v>
      </c>
      <c r="H40" s="111">
        <v>44648</v>
      </c>
      <c r="I40" s="111">
        <v>45379</v>
      </c>
      <c r="J40" s="113" t="s">
        <v>27</v>
      </c>
      <c r="K40" s="114" t="s">
        <v>130</v>
      </c>
      <c r="L40" s="115" t="s">
        <v>69</v>
      </c>
      <c r="M40" s="107" t="s">
        <v>40</v>
      </c>
    </row>
    <row r="41" spans="1:13" s="116" customFormat="1" ht="135.75" customHeight="1">
      <c r="A41" s="105" t="str">
        <f t="shared" si="0"/>
        <v>22EB0032PERFORMANCE BOND</v>
      </c>
      <c r="B41" s="106">
        <v>28</v>
      </c>
      <c r="C41" s="119" t="s">
        <v>44</v>
      </c>
      <c r="D41" s="108" t="s">
        <v>122</v>
      </c>
      <c r="E41" s="109" t="s">
        <v>123</v>
      </c>
      <c r="F41" s="110">
        <v>8533350</v>
      </c>
      <c r="G41" s="111">
        <v>44648</v>
      </c>
      <c r="H41" s="111">
        <v>44648</v>
      </c>
      <c r="I41" s="111">
        <v>45379</v>
      </c>
      <c r="J41" s="113" t="s">
        <v>27</v>
      </c>
      <c r="K41" s="114" t="s">
        <v>131</v>
      </c>
      <c r="L41" s="115" t="s">
        <v>69</v>
      </c>
      <c r="M41" s="107" t="s">
        <v>40</v>
      </c>
    </row>
    <row r="42" spans="1:13" s="116" customFormat="1" ht="79.5" customHeight="1">
      <c r="A42" s="105" t="str">
        <f t="shared" si="0"/>
        <v>21EB0119PERFORMANCE BOND</v>
      </c>
      <c r="B42" s="106">
        <v>29</v>
      </c>
      <c r="C42" s="119" t="s">
        <v>44</v>
      </c>
      <c r="D42" s="108" t="s">
        <v>133</v>
      </c>
      <c r="E42" s="109" t="s">
        <v>132</v>
      </c>
      <c r="F42" s="110">
        <v>2879748.41</v>
      </c>
      <c r="G42" s="111">
        <v>44648</v>
      </c>
      <c r="H42" s="111">
        <v>44648</v>
      </c>
      <c r="I42" s="111">
        <v>45379</v>
      </c>
      <c r="J42" s="113" t="s">
        <v>27</v>
      </c>
      <c r="K42" s="114" t="s">
        <v>134</v>
      </c>
      <c r="L42" s="115" t="s">
        <v>69</v>
      </c>
      <c r="M42" s="107" t="s">
        <v>40</v>
      </c>
    </row>
    <row r="43" spans="1:13" s="116" customFormat="1" ht="79.5" customHeight="1">
      <c r="A43" s="105" t="str">
        <f t="shared" si="0"/>
        <v>21EB0119CONTRACTOR'S ALL RISK POLICY</v>
      </c>
      <c r="B43" s="106">
        <v>29</v>
      </c>
      <c r="C43" s="119" t="s">
        <v>44</v>
      </c>
      <c r="D43" s="108" t="s">
        <v>133</v>
      </c>
      <c r="E43" s="109" t="s">
        <v>132</v>
      </c>
      <c r="F43" s="110">
        <v>9599161.3800000008</v>
      </c>
      <c r="G43" s="111">
        <v>44648</v>
      </c>
      <c r="H43" s="111">
        <v>44648</v>
      </c>
      <c r="I43" s="111">
        <v>45013</v>
      </c>
      <c r="J43" s="113" t="s">
        <v>30</v>
      </c>
      <c r="K43" s="114" t="s">
        <v>135</v>
      </c>
      <c r="L43" s="115" t="s">
        <v>69</v>
      </c>
      <c r="M43" s="107" t="s">
        <v>31</v>
      </c>
    </row>
    <row r="44" spans="1:13" s="116" customFormat="1" ht="79.5" customHeight="1">
      <c r="A44" s="105" t="str">
        <f t="shared" si="0"/>
        <v>21EB0119ADVANCE PAYMENT BOND</v>
      </c>
      <c r="B44" s="106">
        <v>29</v>
      </c>
      <c r="C44" s="119" t="s">
        <v>44</v>
      </c>
      <c r="D44" s="108" t="s">
        <v>133</v>
      </c>
      <c r="E44" s="109" t="s">
        <v>132</v>
      </c>
      <c r="F44" s="110">
        <v>1439874.21</v>
      </c>
      <c r="G44" s="111">
        <v>44659</v>
      </c>
      <c r="H44" s="111">
        <v>44659</v>
      </c>
      <c r="I44" s="111">
        <v>45024</v>
      </c>
      <c r="J44" s="113" t="s">
        <v>30</v>
      </c>
      <c r="K44" s="114" t="s">
        <v>136</v>
      </c>
      <c r="L44" s="115" t="s">
        <v>69</v>
      </c>
      <c r="M44" s="107" t="s">
        <v>34</v>
      </c>
    </row>
    <row r="45" spans="1:13" s="116" customFormat="1" ht="96" customHeight="1">
      <c r="A45" s="105" t="str">
        <f t="shared" si="0"/>
        <v>21EB0138ADVANCE PAYMENT BOND</v>
      </c>
      <c r="B45" s="106">
        <v>32</v>
      </c>
      <c r="C45" s="119" t="s">
        <v>42</v>
      </c>
      <c r="D45" s="108" t="s">
        <v>137</v>
      </c>
      <c r="E45" s="109" t="s">
        <v>138</v>
      </c>
      <c r="F45" s="110">
        <v>356705.92</v>
      </c>
      <c r="G45" s="111">
        <v>44662</v>
      </c>
      <c r="H45" s="111">
        <v>44662</v>
      </c>
      <c r="I45" s="111">
        <v>45027</v>
      </c>
      <c r="J45" s="113" t="s">
        <v>30</v>
      </c>
      <c r="K45" s="114" t="s">
        <v>139</v>
      </c>
      <c r="L45" s="115" t="s">
        <v>35</v>
      </c>
      <c r="M45" s="107" t="s">
        <v>34</v>
      </c>
    </row>
    <row r="46" spans="1:13" s="133" customFormat="1" ht="96" customHeight="1">
      <c r="A46" s="122" t="str">
        <f t="shared" si="0"/>
        <v>21EB0036 PULL OUTRETENTION BOND</v>
      </c>
      <c r="B46" s="123">
        <v>33</v>
      </c>
      <c r="C46" s="124" t="s">
        <v>140</v>
      </c>
      <c r="D46" s="125" t="s">
        <v>394</v>
      </c>
      <c r="E46" s="126" t="s">
        <v>141</v>
      </c>
      <c r="F46" s="127">
        <v>2357307.5</v>
      </c>
      <c r="G46" s="128">
        <v>44662</v>
      </c>
      <c r="H46" s="128">
        <v>44662</v>
      </c>
      <c r="I46" s="128">
        <v>45027</v>
      </c>
      <c r="J46" s="129" t="s">
        <v>30</v>
      </c>
      <c r="K46" s="130" t="s">
        <v>142</v>
      </c>
      <c r="L46" s="131" t="s">
        <v>35</v>
      </c>
      <c r="M46" s="132" t="s">
        <v>33</v>
      </c>
    </row>
    <row r="47" spans="1:13" s="116" customFormat="1" ht="96" customHeight="1">
      <c r="A47" s="105" t="str">
        <f t="shared" si="0"/>
        <v>21EB0143-R1PERFORMANCE BOND</v>
      </c>
      <c r="B47" s="106">
        <v>34</v>
      </c>
      <c r="C47" s="119" t="s">
        <v>75</v>
      </c>
      <c r="D47" s="108" t="s">
        <v>143</v>
      </c>
      <c r="E47" s="109" t="s">
        <v>144</v>
      </c>
      <c r="F47" s="110">
        <v>1135775.81</v>
      </c>
      <c r="G47" s="111">
        <v>44650</v>
      </c>
      <c r="H47" s="111">
        <v>44650</v>
      </c>
      <c r="I47" s="111">
        <v>45381</v>
      </c>
      <c r="J47" s="113" t="s">
        <v>27</v>
      </c>
      <c r="K47" s="114" t="s">
        <v>145</v>
      </c>
      <c r="L47" s="115" t="s">
        <v>28</v>
      </c>
      <c r="M47" s="107" t="s">
        <v>40</v>
      </c>
    </row>
    <row r="48" spans="1:13" s="116" customFormat="1" ht="96" customHeight="1">
      <c r="A48" s="105" t="str">
        <f t="shared" si="0"/>
        <v>21EB0145PERFORMANCE BOND</v>
      </c>
      <c r="B48" s="106">
        <v>34</v>
      </c>
      <c r="C48" s="119" t="s">
        <v>75</v>
      </c>
      <c r="D48" s="108" t="s">
        <v>146</v>
      </c>
      <c r="E48" s="109" t="s">
        <v>147</v>
      </c>
      <c r="F48" s="110">
        <v>1306765.3999999999</v>
      </c>
      <c r="G48" s="111">
        <v>44650</v>
      </c>
      <c r="H48" s="111">
        <v>44650</v>
      </c>
      <c r="I48" s="111">
        <v>45381</v>
      </c>
      <c r="J48" s="113" t="s">
        <v>27</v>
      </c>
      <c r="K48" s="114" t="s">
        <v>145</v>
      </c>
      <c r="L48" s="115" t="s">
        <v>28</v>
      </c>
      <c r="M48" s="107" t="s">
        <v>40</v>
      </c>
    </row>
    <row r="49" spans="1:13" s="116" customFormat="1" ht="96" customHeight="1">
      <c r="A49" s="105" t="str">
        <f t="shared" si="0"/>
        <v>22EB0085PERFORMANCE BOND</v>
      </c>
      <c r="B49" s="106">
        <v>34</v>
      </c>
      <c r="C49" s="119" t="s">
        <v>43</v>
      </c>
      <c r="D49" s="108" t="s">
        <v>148</v>
      </c>
      <c r="E49" s="109" t="s">
        <v>149</v>
      </c>
      <c r="F49" s="110">
        <v>2072487.56</v>
      </c>
      <c r="G49" s="111">
        <v>44650</v>
      </c>
      <c r="H49" s="111">
        <v>44650</v>
      </c>
      <c r="I49" s="111">
        <v>45381</v>
      </c>
      <c r="J49" s="113" t="s">
        <v>27</v>
      </c>
      <c r="K49" s="114" t="s">
        <v>150</v>
      </c>
      <c r="L49" s="115" t="s">
        <v>28</v>
      </c>
      <c r="M49" s="107" t="s">
        <v>40</v>
      </c>
    </row>
    <row r="50" spans="1:13" s="116" customFormat="1" ht="96" customHeight="1">
      <c r="A50" s="105" t="str">
        <f t="shared" si="0"/>
        <v>22EB0087PERFORMANCE BOND</v>
      </c>
      <c r="B50" s="106">
        <v>34</v>
      </c>
      <c r="C50" s="119" t="s">
        <v>43</v>
      </c>
      <c r="D50" s="108" t="s">
        <v>151</v>
      </c>
      <c r="E50" s="109" t="s">
        <v>152</v>
      </c>
      <c r="F50" s="110">
        <v>1946747.93</v>
      </c>
      <c r="G50" s="111">
        <v>44650</v>
      </c>
      <c r="H50" s="111">
        <v>44650</v>
      </c>
      <c r="I50" s="111">
        <v>45381</v>
      </c>
      <c r="J50" s="113" t="s">
        <v>27</v>
      </c>
      <c r="K50" s="114" t="s">
        <v>153</v>
      </c>
      <c r="L50" s="115" t="s">
        <v>28</v>
      </c>
      <c r="M50" s="107" t="s">
        <v>40</v>
      </c>
    </row>
    <row r="51" spans="1:13" s="116" customFormat="1" ht="96" customHeight="1">
      <c r="A51" s="105" t="str">
        <f t="shared" si="0"/>
        <v>22EB0088PERFORMANCE BOND</v>
      </c>
      <c r="B51" s="106">
        <v>34</v>
      </c>
      <c r="C51" s="119" t="s">
        <v>75</v>
      </c>
      <c r="D51" s="108" t="s">
        <v>154</v>
      </c>
      <c r="E51" s="109" t="s">
        <v>155</v>
      </c>
      <c r="F51" s="110">
        <v>3131570.93</v>
      </c>
      <c r="G51" s="111">
        <v>44650</v>
      </c>
      <c r="H51" s="111">
        <v>44650</v>
      </c>
      <c r="I51" s="111">
        <v>45381</v>
      </c>
      <c r="J51" s="113" t="s">
        <v>27</v>
      </c>
      <c r="K51" s="114" t="s">
        <v>156</v>
      </c>
      <c r="L51" s="115" t="s">
        <v>28</v>
      </c>
      <c r="M51" s="107" t="s">
        <v>40</v>
      </c>
    </row>
    <row r="52" spans="1:13" s="116" customFormat="1" ht="113.25" customHeight="1">
      <c r="A52" s="105" t="str">
        <f t="shared" si="0"/>
        <v>22EB0099PERFORMANCE BOND</v>
      </c>
      <c r="B52" s="106">
        <v>39</v>
      </c>
      <c r="C52" s="119" t="s">
        <v>58</v>
      </c>
      <c r="D52" s="108" t="s">
        <v>157</v>
      </c>
      <c r="E52" s="109" t="s">
        <v>158</v>
      </c>
      <c r="F52" s="110">
        <v>2947484.83</v>
      </c>
      <c r="G52" s="111">
        <v>44650</v>
      </c>
      <c r="H52" s="111">
        <v>44650</v>
      </c>
      <c r="I52" s="111">
        <v>45381</v>
      </c>
      <c r="J52" s="113" t="s">
        <v>27</v>
      </c>
      <c r="K52" s="114" t="s">
        <v>159</v>
      </c>
      <c r="L52" s="115" t="s">
        <v>28</v>
      </c>
      <c r="M52" s="107" t="s">
        <v>40</v>
      </c>
    </row>
    <row r="53" spans="1:13" s="116" customFormat="1" ht="113.25" customHeight="1">
      <c r="A53" s="105" t="str">
        <f t="shared" si="0"/>
        <v>21EB0122PERFORMANCE BOND</v>
      </c>
      <c r="B53" s="106">
        <v>40</v>
      </c>
      <c r="C53" s="119" t="s">
        <v>72</v>
      </c>
      <c r="D53" s="108" t="s">
        <v>160</v>
      </c>
      <c r="E53" s="109" t="s">
        <v>161</v>
      </c>
      <c r="F53" s="110">
        <v>1854096.1</v>
      </c>
      <c r="G53" s="111">
        <v>44650</v>
      </c>
      <c r="H53" s="111">
        <v>44650</v>
      </c>
      <c r="I53" s="111">
        <v>45381</v>
      </c>
      <c r="J53" s="113" t="s">
        <v>27</v>
      </c>
      <c r="K53" s="114" t="s">
        <v>162</v>
      </c>
      <c r="L53" s="115" t="s">
        <v>28</v>
      </c>
      <c r="M53" s="107" t="s">
        <v>40</v>
      </c>
    </row>
    <row r="54" spans="1:13" s="116" customFormat="1" ht="113.25" customHeight="1">
      <c r="A54" s="105" t="str">
        <f t="shared" si="0"/>
        <v>22EB0084PERFORMANCE BOND</v>
      </c>
      <c r="B54" s="106">
        <v>41</v>
      </c>
      <c r="C54" s="119" t="s">
        <v>41</v>
      </c>
      <c r="D54" s="108" t="s">
        <v>163</v>
      </c>
      <c r="E54" s="109" t="s">
        <v>164</v>
      </c>
      <c r="F54" s="110">
        <v>2067509.85</v>
      </c>
      <c r="G54" s="111">
        <v>44650</v>
      </c>
      <c r="H54" s="111">
        <v>44650</v>
      </c>
      <c r="I54" s="111">
        <v>45381</v>
      </c>
      <c r="J54" s="113" t="s">
        <v>27</v>
      </c>
      <c r="K54" s="114" t="s">
        <v>165</v>
      </c>
      <c r="L54" s="115" t="s">
        <v>28</v>
      </c>
      <c r="M54" s="107" t="s">
        <v>40</v>
      </c>
    </row>
    <row r="55" spans="1:13" s="116" customFormat="1" ht="113.25" customHeight="1">
      <c r="A55" s="105" t="str">
        <f t="shared" si="0"/>
        <v>22EB0086PERFORMANCE BOND</v>
      </c>
      <c r="B55" s="106">
        <v>42</v>
      </c>
      <c r="C55" s="119" t="s">
        <v>166</v>
      </c>
      <c r="D55" s="108" t="s">
        <v>167</v>
      </c>
      <c r="E55" s="109" t="s">
        <v>168</v>
      </c>
      <c r="F55" s="110">
        <v>1660627.31</v>
      </c>
      <c r="G55" s="111">
        <v>44650</v>
      </c>
      <c r="H55" s="111">
        <v>44650</v>
      </c>
      <c r="I55" s="111">
        <v>45381</v>
      </c>
      <c r="J55" s="113" t="s">
        <v>27</v>
      </c>
      <c r="K55" s="114" t="s">
        <v>169</v>
      </c>
      <c r="L55" s="115" t="s">
        <v>28</v>
      </c>
      <c r="M55" s="107" t="s">
        <v>40</v>
      </c>
    </row>
    <row r="56" spans="1:13" s="116" customFormat="1" ht="113.25" customHeight="1">
      <c r="A56" s="105" t="str">
        <f t="shared" si="0"/>
        <v>22EB0101PERFORMANCE BOND</v>
      </c>
      <c r="B56" s="106">
        <v>43</v>
      </c>
      <c r="C56" s="119" t="s">
        <v>170</v>
      </c>
      <c r="D56" s="108" t="s">
        <v>171</v>
      </c>
      <c r="E56" s="109" t="s">
        <v>172</v>
      </c>
      <c r="F56" s="110">
        <v>1477555.92</v>
      </c>
      <c r="G56" s="111">
        <v>44650</v>
      </c>
      <c r="H56" s="111">
        <v>44650</v>
      </c>
      <c r="I56" s="111">
        <v>45381</v>
      </c>
      <c r="J56" s="113" t="s">
        <v>27</v>
      </c>
      <c r="K56" s="114" t="s">
        <v>173</v>
      </c>
      <c r="L56" s="115" t="s">
        <v>28</v>
      </c>
      <c r="M56" s="107" t="s">
        <v>40</v>
      </c>
    </row>
    <row r="57" spans="1:13" s="116" customFormat="1" ht="96" customHeight="1">
      <c r="A57" s="105" t="str">
        <f t="shared" si="0"/>
        <v>21EB0136PERFORMANCE BOND</v>
      </c>
      <c r="B57" s="106">
        <v>34</v>
      </c>
      <c r="C57" s="119" t="s">
        <v>75</v>
      </c>
      <c r="D57" s="108" t="s">
        <v>174</v>
      </c>
      <c r="E57" s="109" t="s">
        <v>175</v>
      </c>
      <c r="F57" s="110">
        <v>653350.21</v>
      </c>
      <c r="G57" s="111">
        <v>44650</v>
      </c>
      <c r="H57" s="111">
        <v>44650</v>
      </c>
      <c r="I57" s="111">
        <v>45381</v>
      </c>
      <c r="J57" s="113" t="s">
        <v>27</v>
      </c>
      <c r="K57" s="114" t="s">
        <v>176</v>
      </c>
      <c r="L57" s="115" t="s">
        <v>28</v>
      </c>
      <c r="M57" s="107" t="s">
        <v>40</v>
      </c>
    </row>
    <row r="58" spans="1:13" s="116" customFormat="1" ht="96" customHeight="1">
      <c r="A58" s="105" t="str">
        <f t="shared" si="0"/>
        <v>22EB0088PERFORMANCE BOND</v>
      </c>
      <c r="B58" s="106">
        <v>34</v>
      </c>
      <c r="C58" s="119" t="s">
        <v>75</v>
      </c>
      <c r="D58" s="108" t="s">
        <v>154</v>
      </c>
      <c r="E58" s="109" t="s">
        <v>155</v>
      </c>
      <c r="F58" s="110">
        <v>3131570.93</v>
      </c>
      <c r="G58" s="111">
        <v>44650</v>
      </c>
      <c r="H58" s="111">
        <v>44650</v>
      </c>
      <c r="I58" s="111">
        <v>45381</v>
      </c>
      <c r="J58" s="113" t="s">
        <v>27</v>
      </c>
      <c r="K58" s="114" t="s">
        <v>156</v>
      </c>
      <c r="L58" s="115" t="s">
        <v>28</v>
      </c>
      <c r="M58" s="107" t="s">
        <v>40</v>
      </c>
    </row>
    <row r="59" spans="1:13" s="116" customFormat="1" ht="96" customHeight="1">
      <c r="A59" s="105" t="str">
        <f t="shared" si="0"/>
        <v>21EB0145CONTRACTOR'S ALL RISK POLICY</v>
      </c>
      <c r="B59" s="106">
        <v>34</v>
      </c>
      <c r="C59" s="119" t="s">
        <v>75</v>
      </c>
      <c r="D59" s="108" t="s">
        <v>146</v>
      </c>
      <c r="E59" s="109" t="s">
        <v>147</v>
      </c>
      <c r="F59" s="110">
        <v>4355884.68</v>
      </c>
      <c r="G59" s="111">
        <v>44650</v>
      </c>
      <c r="H59" s="111">
        <v>44650</v>
      </c>
      <c r="I59" s="111">
        <v>45015</v>
      </c>
      <c r="J59" s="113" t="s">
        <v>30</v>
      </c>
      <c r="K59" s="114" t="s">
        <v>177</v>
      </c>
      <c r="L59" s="115" t="s">
        <v>28</v>
      </c>
      <c r="M59" s="107" t="s">
        <v>31</v>
      </c>
    </row>
    <row r="60" spans="1:13" s="116" customFormat="1" ht="96" customHeight="1">
      <c r="A60" s="105" t="str">
        <f t="shared" si="0"/>
        <v>22EB0087CONTRACTOR'S ALL RISK POLICY</v>
      </c>
      <c r="B60" s="106">
        <v>34</v>
      </c>
      <c r="C60" s="119" t="s">
        <v>43</v>
      </c>
      <c r="D60" s="108" t="s">
        <v>151</v>
      </c>
      <c r="E60" s="109" t="s">
        <v>152</v>
      </c>
      <c r="F60" s="110">
        <v>6489159.7599999998</v>
      </c>
      <c r="G60" s="111">
        <v>44650</v>
      </c>
      <c r="H60" s="111">
        <v>44650</v>
      </c>
      <c r="I60" s="111">
        <v>45015</v>
      </c>
      <c r="J60" s="113" t="s">
        <v>30</v>
      </c>
      <c r="K60" s="114" t="s">
        <v>178</v>
      </c>
      <c r="L60" s="115" t="s">
        <v>28</v>
      </c>
      <c r="M60" s="107" t="s">
        <v>31</v>
      </c>
    </row>
    <row r="61" spans="1:13" s="116" customFormat="1" ht="96" customHeight="1">
      <c r="A61" s="105" t="str">
        <f t="shared" si="0"/>
        <v>22EB0085CONTRACTOR'S ALL RISK POLICY</v>
      </c>
      <c r="B61" s="106">
        <v>34</v>
      </c>
      <c r="C61" s="119" t="s">
        <v>43</v>
      </c>
      <c r="D61" s="108" t="s">
        <v>148</v>
      </c>
      <c r="E61" s="109" t="s">
        <v>149</v>
      </c>
      <c r="F61" s="110">
        <v>6908291.8600000003</v>
      </c>
      <c r="G61" s="111">
        <v>44650</v>
      </c>
      <c r="H61" s="111">
        <v>44650</v>
      </c>
      <c r="I61" s="111">
        <v>45015</v>
      </c>
      <c r="J61" s="113" t="s">
        <v>30</v>
      </c>
      <c r="K61" s="114" t="s">
        <v>179</v>
      </c>
      <c r="L61" s="115" t="s">
        <v>28</v>
      </c>
      <c r="M61" s="107" t="s">
        <v>31</v>
      </c>
    </row>
    <row r="62" spans="1:13" s="116" customFormat="1" ht="96" customHeight="1">
      <c r="A62" s="105" t="str">
        <f t="shared" si="0"/>
        <v>21EB0143-R1CONTRACTOR'S ALL RISK POLICY</v>
      </c>
      <c r="B62" s="106">
        <v>34</v>
      </c>
      <c r="C62" s="119" t="s">
        <v>75</v>
      </c>
      <c r="D62" s="108" t="s">
        <v>143</v>
      </c>
      <c r="E62" s="109" t="s">
        <v>144</v>
      </c>
      <c r="F62" s="110">
        <v>3785919.38</v>
      </c>
      <c r="G62" s="111">
        <v>44650</v>
      </c>
      <c r="H62" s="111">
        <v>44650</v>
      </c>
      <c r="I62" s="111">
        <v>45015</v>
      </c>
      <c r="J62" s="113" t="s">
        <v>30</v>
      </c>
      <c r="K62" s="114" t="s">
        <v>180</v>
      </c>
      <c r="L62" s="115" t="s">
        <v>28</v>
      </c>
      <c r="M62" s="107" t="s">
        <v>31</v>
      </c>
    </row>
    <row r="63" spans="1:13" s="116" customFormat="1" ht="96" customHeight="1">
      <c r="A63" s="105" t="str">
        <f t="shared" si="0"/>
        <v>21EB0136CONTRACTOR'S ALL RISK POLICY</v>
      </c>
      <c r="B63" s="106">
        <v>34</v>
      </c>
      <c r="C63" s="119" t="s">
        <v>75</v>
      </c>
      <c r="D63" s="108" t="s">
        <v>174</v>
      </c>
      <c r="E63" s="109" t="s">
        <v>175</v>
      </c>
      <c r="F63" s="110">
        <v>2177834.04</v>
      </c>
      <c r="G63" s="111">
        <v>44650</v>
      </c>
      <c r="H63" s="111">
        <v>44650</v>
      </c>
      <c r="I63" s="111">
        <v>45015</v>
      </c>
      <c r="J63" s="113" t="s">
        <v>30</v>
      </c>
      <c r="K63" s="114" t="s">
        <v>181</v>
      </c>
      <c r="L63" s="115" t="s">
        <v>28</v>
      </c>
      <c r="M63" s="107" t="s">
        <v>31</v>
      </c>
    </row>
    <row r="64" spans="1:13" s="116" customFormat="1" ht="96" customHeight="1">
      <c r="A64" s="105" t="str">
        <f t="shared" si="0"/>
        <v>22EB0088CONTRACTOR'S ALL RISK POLICY</v>
      </c>
      <c r="B64" s="106">
        <v>34</v>
      </c>
      <c r="C64" s="119" t="s">
        <v>75</v>
      </c>
      <c r="D64" s="108" t="s">
        <v>154</v>
      </c>
      <c r="E64" s="109" t="s">
        <v>155</v>
      </c>
      <c r="F64" s="110">
        <v>10438569.76</v>
      </c>
      <c r="G64" s="111">
        <v>44650</v>
      </c>
      <c r="H64" s="111">
        <v>44650</v>
      </c>
      <c r="I64" s="111">
        <v>45015</v>
      </c>
      <c r="J64" s="113" t="s">
        <v>30</v>
      </c>
      <c r="K64" s="114" t="s">
        <v>182</v>
      </c>
      <c r="L64" s="115" t="s">
        <v>28</v>
      </c>
      <c r="M64" s="107" t="s">
        <v>31</v>
      </c>
    </row>
    <row r="65" spans="1:13" s="116" customFormat="1" ht="113.25" customHeight="1">
      <c r="A65" s="105" t="str">
        <f t="shared" si="0"/>
        <v>21EB0122CONTRACTOR'S ALL RISK POLICY</v>
      </c>
      <c r="B65" s="106">
        <v>40</v>
      </c>
      <c r="C65" s="119" t="s">
        <v>72</v>
      </c>
      <c r="D65" s="108" t="s">
        <v>160</v>
      </c>
      <c r="E65" s="109" t="s">
        <v>161</v>
      </c>
      <c r="F65" s="110">
        <v>6180320.3399999999</v>
      </c>
      <c r="G65" s="111">
        <v>44650</v>
      </c>
      <c r="H65" s="111">
        <v>44650</v>
      </c>
      <c r="I65" s="111">
        <v>45015</v>
      </c>
      <c r="J65" s="113" t="s">
        <v>30</v>
      </c>
      <c r="K65" s="114" t="s">
        <v>182</v>
      </c>
      <c r="L65" s="115" t="s">
        <v>28</v>
      </c>
      <c r="M65" s="107" t="s">
        <v>31</v>
      </c>
    </row>
    <row r="66" spans="1:13" s="116" customFormat="1" ht="113.25" customHeight="1">
      <c r="A66" s="105" t="str">
        <f t="shared" si="0"/>
        <v>22EB0084CONTRACTOR'S ALL RISK POLICY</v>
      </c>
      <c r="B66" s="106">
        <v>41</v>
      </c>
      <c r="C66" s="119" t="s">
        <v>41</v>
      </c>
      <c r="D66" s="108" t="s">
        <v>163</v>
      </c>
      <c r="E66" s="109" t="s">
        <v>164</v>
      </c>
      <c r="F66" s="110">
        <v>6891699.5099999998</v>
      </c>
      <c r="G66" s="111">
        <v>44650</v>
      </c>
      <c r="H66" s="111">
        <v>44650</v>
      </c>
      <c r="I66" s="111">
        <v>45015</v>
      </c>
      <c r="J66" s="113" t="s">
        <v>30</v>
      </c>
      <c r="K66" s="114" t="s">
        <v>183</v>
      </c>
      <c r="L66" s="115" t="s">
        <v>28</v>
      </c>
      <c r="M66" s="107" t="s">
        <v>31</v>
      </c>
    </row>
    <row r="67" spans="1:13" s="116" customFormat="1" ht="113.25" customHeight="1">
      <c r="A67" s="105" t="str">
        <f t="shared" si="0"/>
        <v>22EB0099CONTRACTOR'S ALL RISK POLICY</v>
      </c>
      <c r="B67" s="106">
        <v>39</v>
      </c>
      <c r="C67" s="119" t="s">
        <v>58</v>
      </c>
      <c r="D67" s="108" t="s">
        <v>157</v>
      </c>
      <c r="E67" s="109" t="s">
        <v>158</v>
      </c>
      <c r="F67" s="110">
        <v>9891616.4100000001</v>
      </c>
      <c r="G67" s="111">
        <v>44650</v>
      </c>
      <c r="H67" s="111">
        <v>44650</v>
      </c>
      <c r="I67" s="111">
        <v>45015</v>
      </c>
      <c r="J67" s="113" t="s">
        <v>30</v>
      </c>
      <c r="K67" s="114" t="s">
        <v>184</v>
      </c>
      <c r="L67" s="115" t="s">
        <v>28</v>
      </c>
      <c r="M67" s="107" t="s">
        <v>31</v>
      </c>
    </row>
    <row r="68" spans="1:13" s="116" customFormat="1" ht="113.25" customHeight="1">
      <c r="A68" s="105" t="str">
        <f t="shared" si="0"/>
        <v>22EB0101CONTRACTOR'S ALL RISK POLICY</v>
      </c>
      <c r="B68" s="106">
        <v>43</v>
      </c>
      <c r="C68" s="119" t="s">
        <v>170</v>
      </c>
      <c r="D68" s="108" t="s">
        <v>171</v>
      </c>
      <c r="E68" s="109" t="s">
        <v>172</v>
      </c>
      <c r="F68" s="110">
        <v>4925186.41</v>
      </c>
      <c r="G68" s="111">
        <v>44650</v>
      </c>
      <c r="H68" s="111">
        <v>44650</v>
      </c>
      <c r="I68" s="111">
        <v>45015</v>
      </c>
      <c r="J68" s="113" t="s">
        <v>30</v>
      </c>
      <c r="K68" s="114" t="s">
        <v>185</v>
      </c>
      <c r="L68" s="115" t="s">
        <v>28</v>
      </c>
      <c r="M68" s="107" t="s">
        <v>31</v>
      </c>
    </row>
    <row r="69" spans="1:13" s="116" customFormat="1" ht="113.25" customHeight="1">
      <c r="A69" s="105" t="str">
        <f t="shared" si="0"/>
        <v>22EB0086CONTRACTOR'S ALL RISK POLICY</v>
      </c>
      <c r="B69" s="106">
        <v>42</v>
      </c>
      <c r="C69" s="119" t="s">
        <v>166</v>
      </c>
      <c r="D69" s="108" t="s">
        <v>167</v>
      </c>
      <c r="E69" s="109" t="s">
        <v>168</v>
      </c>
      <c r="F69" s="110">
        <v>5535424.3799999999</v>
      </c>
      <c r="G69" s="111">
        <v>44650</v>
      </c>
      <c r="H69" s="111">
        <v>44650</v>
      </c>
      <c r="I69" s="111">
        <v>45015</v>
      </c>
      <c r="J69" s="113" t="s">
        <v>30</v>
      </c>
      <c r="K69" s="114" t="s">
        <v>186</v>
      </c>
      <c r="L69" s="115" t="s">
        <v>28</v>
      </c>
      <c r="M69" s="107" t="s">
        <v>31</v>
      </c>
    </row>
    <row r="70" spans="1:13" s="116" customFormat="1" ht="96" customHeight="1">
      <c r="A70" s="105" t="str">
        <f t="shared" si="0"/>
        <v>21EB0138PERFORMANCE BOND</v>
      </c>
      <c r="B70" s="106">
        <v>32</v>
      </c>
      <c r="C70" s="119" t="s">
        <v>42</v>
      </c>
      <c r="D70" s="108" t="s">
        <v>137</v>
      </c>
      <c r="E70" s="109" t="s">
        <v>138</v>
      </c>
      <c r="F70" s="110">
        <v>713411.83</v>
      </c>
      <c r="G70" s="111">
        <v>44648</v>
      </c>
      <c r="H70" s="111">
        <v>44648</v>
      </c>
      <c r="I70" s="111">
        <v>45379</v>
      </c>
      <c r="J70" s="113" t="s">
        <v>27</v>
      </c>
      <c r="K70" s="114" t="s">
        <v>187</v>
      </c>
      <c r="L70" s="115" t="s">
        <v>35</v>
      </c>
      <c r="M70" s="107" t="s">
        <v>40</v>
      </c>
    </row>
    <row r="71" spans="1:13" s="116" customFormat="1" ht="96" customHeight="1">
      <c r="A71" s="105" t="str">
        <f t="shared" si="0"/>
        <v>21EB0138CONTRACTOR'S ALL RISK POLICY</v>
      </c>
      <c r="B71" s="106">
        <v>32</v>
      </c>
      <c r="C71" s="119" t="s">
        <v>42</v>
      </c>
      <c r="D71" s="108" t="s">
        <v>137</v>
      </c>
      <c r="E71" s="109" t="s">
        <v>138</v>
      </c>
      <c r="F71" s="110">
        <v>2378039.44</v>
      </c>
      <c r="G71" s="111">
        <v>44648</v>
      </c>
      <c r="H71" s="111">
        <v>44648</v>
      </c>
      <c r="I71" s="111">
        <v>45013</v>
      </c>
      <c r="J71" s="113" t="s">
        <v>30</v>
      </c>
      <c r="K71" s="114" t="s">
        <v>188</v>
      </c>
      <c r="L71" s="115" t="s">
        <v>35</v>
      </c>
      <c r="M71" s="107" t="s">
        <v>31</v>
      </c>
    </row>
    <row r="72" spans="1:13" s="116" customFormat="1" ht="109.5" customHeight="1">
      <c r="A72" s="105" t="str">
        <f t="shared" si="0"/>
        <v>20EB0017WARRANTY BOND</v>
      </c>
      <c r="B72" s="106">
        <v>59</v>
      </c>
      <c r="C72" s="119" t="s">
        <v>189</v>
      </c>
      <c r="D72" s="108" t="s">
        <v>190</v>
      </c>
      <c r="E72" s="109" t="s">
        <v>191</v>
      </c>
      <c r="F72" s="110">
        <v>14699336.880000001</v>
      </c>
      <c r="G72" s="111">
        <v>44609</v>
      </c>
      <c r="H72" s="111">
        <v>44609</v>
      </c>
      <c r="I72" s="111">
        <v>44974</v>
      </c>
      <c r="J72" s="113" t="s">
        <v>30</v>
      </c>
      <c r="K72" s="114" t="s">
        <v>192</v>
      </c>
      <c r="L72" s="115" t="s">
        <v>193</v>
      </c>
      <c r="M72" s="107" t="s">
        <v>37</v>
      </c>
    </row>
    <row r="73" spans="1:13" s="116" customFormat="1" ht="109.5" customHeight="1">
      <c r="A73" s="105" t="str">
        <f t="shared" si="0"/>
        <v>22EB0012CONTRACTOR'S ALL RISK POLICY</v>
      </c>
      <c r="B73" s="106">
        <v>60</v>
      </c>
      <c r="C73" s="119" t="s">
        <v>67</v>
      </c>
      <c r="D73" s="108" t="s">
        <v>194</v>
      </c>
      <c r="E73" s="109" t="s">
        <v>195</v>
      </c>
      <c r="F73" s="110">
        <v>39169561.310000002</v>
      </c>
      <c r="G73" s="111">
        <v>44650</v>
      </c>
      <c r="H73" s="111">
        <v>44650</v>
      </c>
      <c r="I73" s="111">
        <v>45015</v>
      </c>
      <c r="J73" s="113" t="s">
        <v>30</v>
      </c>
      <c r="K73" s="114" t="s">
        <v>196</v>
      </c>
      <c r="L73" s="115" t="s">
        <v>28</v>
      </c>
      <c r="M73" s="107" t="s">
        <v>31</v>
      </c>
    </row>
    <row r="74" spans="1:13" s="116" customFormat="1" ht="109.5" customHeight="1">
      <c r="A74" s="105" t="str">
        <f t="shared" si="0"/>
        <v>20EB0023-R1WARRANTY BOND</v>
      </c>
      <c r="B74" s="106">
        <v>61</v>
      </c>
      <c r="C74" s="119" t="s">
        <v>58</v>
      </c>
      <c r="D74" s="108" t="s">
        <v>197</v>
      </c>
      <c r="E74" s="109" t="s">
        <v>198</v>
      </c>
      <c r="F74" s="110">
        <v>5218192.4000000004</v>
      </c>
      <c r="G74" s="111">
        <v>44503</v>
      </c>
      <c r="H74" s="111">
        <v>44503</v>
      </c>
      <c r="I74" s="111">
        <v>44868</v>
      </c>
      <c r="J74" s="113" t="s">
        <v>30</v>
      </c>
      <c r="K74" s="114" t="s">
        <v>199</v>
      </c>
      <c r="L74" s="115" t="s">
        <v>28</v>
      </c>
      <c r="M74" s="107" t="s">
        <v>37</v>
      </c>
    </row>
    <row r="75" spans="1:13" s="116" customFormat="1" ht="109.5" customHeight="1">
      <c r="A75" s="105" t="str">
        <f t="shared" si="0"/>
        <v>20EB0015WARRANTY BOND</v>
      </c>
      <c r="B75" s="106">
        <v>62</v>
      </c>
      <c r="C75" s="119" t="s">
        <v>67</v>
      </c>
      <c r="D75" s="108" t="s">
        <v>201</v>
      </c>
      <c r="E75" s="109" t="s">
        <v>202</v>
      </c>
      <c r="F75" s="110">
        <v>14699555.279999999</v>
      </c>
      <c r="G75" s="111">
        <v>44495</v>
      </c>
      <c r="H75" s="111">
        <v>44495</v>
      </c>
      <c r="I75" s="111">
        <v>44860</v>
      </c>
      <c r="J75" s="113" t="s">
        <v>30</v>
      </c>
      <c r="K75" s="114" t="s">
        <v>203</v>
      </c>
      <c r="L75" s="115" t="s">
        <v>28</v>
      </c>
      <c r="M75" s="107" t="s">
        <v>37</v>
      </c>
    </row>
    <row r="76" spans="1:13" s="116" customFormat="1" ht="109.5" customHeight="1">
      <c r="A76" s="105" t="str">
        <f t="shared" si="0"/>
        <v>20EB0024WARRANTY BOND</v>
      </c>
      <c r="B76" s="106">
        <v>63</v>
      </c>
      <c r="C76" s="119" t="s">
        <v>41</v>
      </c>
      <c r="D76" s="108" t="s">
        <v>204</v>
      </c>
      <c r="E76" s="109" t="s">
        <v>205</v>
      </c>
      <c r="F76" s="110">
        <v>6247502.2199999997</v>
      </c>
      <c r="G76" s="111">
        <v>44650</v>
      </c>
      <c r="H76" s="111">
        <v>44650</v>
      </c>
      <c r="I76" s="111">
        <v>45015</v>
      </c>
      <c r="J76" s="113" t="s">
        <v>30</v>
      </c>
      <c r="K76" s="114" t="s">
        <v>206</v>
      </c>
      <c r="L76" s="115" t="s">
        <v>28</v>
      </c>
      <c r="M76" s="107" t="s">
        <v>37</v>
      </c>
    </row>
    <row r="77" spans="1:13" s="116" customFormat="1" ht="109.5" customHeight="1">
      <c r="A77" s="105" t="str">
        <f t="shared" si="0"/>
        <v>22EB0008CONTRACTOR'S ALL RISK POLICY</v>
      </c>
      <c r="B77" s="106">
        <v>64</v>
      </c>
      <c r="C77" s="119" t="s">
        <v>44</v>
      </c>
      <c r="D77" s="108" t="s">
        <v>200</v>
      </c>
      <c r="E77" s="109" t="s">
        <v>207</v>
      </c>
      <c r="F77" s="110">
        <v>30222607.649999999</v>
      </c>
      <c r="G77" s="111">
        <v>44650</v>
      </c>
      <c r="H77" s="111">
        <v>44650</v>
      </c>
      <c r="I77" s="111">
        <v>45015</v>
      </c>
      <c r="J77" s="113" t="s">
        <v>30</v>
      </c>
      <c r="K77" s="114" t="s">
        <v>208</v>
      </c>
      <c r="L77" s="115" t="s">
        <v>28</v>
      </c>
      <c r="M77" s="107" t="s">
        <v>31</v>
      </c>
    </row>
    <row r="78" spans="1:13" s="116" customFormat="1" ht="109.5" customHeight="1">
      <c r="A78" s="105" t="str">
        <f t="shared" ref="A78:A141" si="1">D78&amp;M78</f>
        <v xml:space="preserve">22EB0008PERFORMANCE BOND </v>
      </c>
      <c r="B78" s="106">
        <v>64</v>
      </c>
      <c r="C78" s="119" t="s">
        <v>44</v>
      </c>
      <c r="D78" s="108" t="s">
        <v>200</v>
      </c>
      <c r="E78" s="109" t="s">
        <v>207</v>
      </c>
      <c r="F78" s="110">
        <v>9066782.3000000007</v>
      </c>
      <c r="G78" s="111">
        <v>44650</v>
      </c>
      <c r="H78" s="111">
        <v>44650</v>
      </c>
      <c r="I78" s="111">
        <v>45381</v>
      </c>
      <c r="J78" s="113" t="s">
        <v>30</v>
      </c>
      <c r="K78" s="114" t="s">
        <v>209</v>
      </c>
      <c r="L78" s="115" t="s">
        <v>28</v>
      </c>
      <c r="M78" s="107" t="s">
        <v>29</v>
      </c>
    </row>
    <row r="79" spans="1:13" s="116" customFormat="1" ht="109.5" customHeight="1">
      <c r="A79" s="105" t="str">
        <f t="shared" si="1"/>
        <v xml:space="preserve">22EB0012PERFORMANCE BOND </v>
      </c>
      <c r="B79" s="106">
        <v>60</v>
      </c>
      <c r="C79" s="119" t="s">
        <v>67</v>
      </c>
      <c r="D79" s="108" t="s">
        <v>194</v>
      </c>
      <c r="E79" s="109" t="s">
        <v>195</v>
      </c>
      <c r="F79" s="110">
        <v>11750868.390000001</v>
      </c>
      <c r="G79" s="111">
        <v>44650</v>
      </c>
      <c r="H79" s="111">
        <v>44650</v>
      </c>
      <c r="I79" s="111">
        <v>45015</v>
      </c>
      <c r="J79" s="113" t="s">
        <v>30</v>
      </c>
      <c r="K79" s="114" t="s">
        <v>210</v>
      </c>
      <c r="L79" s="115" t="s">
        <v>28</v>
      </c>
      <c r="M79" s="107" t="s">
        <v>29</v>
      </c>
    </row>
    <row r="80" spans="1:13" s="116" customFormat="1" ht="109.5" customHeight="1">
      <c r="A80" s="105" t="str">
        <f t="shared" si="1"/>
        <v>22EB0084ADVANCE PAYMENT BOND</v>
      </c>
      <c r="B80" s="106">
        <v>67</v>
      </c>
      <c r="C80" s="119" t="s">
        <v>41</v>
      </c>
      <c r="D80" s="108" t="s">
        <v>163</v>
      </c>
      <c r="E80" s="109" t="s">
        <v>164</v>
      </c>
      <c r="F80" s="110">
        <v>1033754.93</v>
      </c>
      <c r="G80" s="111">
        <v>44604</v>
      </c>
      <c r="H80" s="111">
        <v>44604</v>
      </c>
      <c r="I80" s="111">
        <v>44969</v>
      </c>
      <c r="J80" s="113" t="s">
        <v>30</v>
      </c>
      <c r="K80" s="114" t="s">
        <v>211</v>
      </c>
      <c r="L80" s="115" t="s">
        <v>28</v>
      </c>
      <c r="M80" s="107" t="s">
        <v>34</v>
      </c>
    </row>
    <row r="81" spans="1:13" s="116" customFormat="1" ht="113.25" customHeight="1">
      <c r="A81" s="105" t="str">
        <f t="shared" si="1"/>
        <v>21EB0122ADVANCE PAYMENT BOND</v>
      </c>
      <c r="B81" s="106">
        <v>40</v>
      </c>
      <c r="C81" s="119" t="s">
        <v>72</v>
      </c>
      <c r="D81" s="108" t="s">
        <v>160</v>
      </c>
      <c r="E81" s="109" t="s">
        <v>161</v>
      </c>
      <c r="F81" s="110">
        <v>927048.05</v>
      </c>
      <c r="G81" s="111">
        <v>44663</v>
      </c>
      <c r="H81" s="111">
        <v>44663</v>
      </c>
      <c r="I81" s="111">
        <v>45028</v>
      </c>
      <c r="J81" s="113" t="s">
        <v>30</v>
      </c>
      <c r="K81" s="114" t="s">
        <v>212</v>
      </c>
      <c r="L81" s="115" t="s">
        <v>28</v>
      </c>
      <c r="M81" s="107" t="s">
        <v>34</v>
      </c>
    </row>
    <row r="82" spans="1:13" s="116" customFormat="1" ht="96" customHeight="1">
      <c r="A82" s="105" t="str">
        <f t="shared" si="1"/>
        <v>22EB0087ADVANCE PAYMENT BOND</v>
      </c>
      <c r="B82" s="106">
        <v>34</v>
      </c>
      <c r="C82" s="119" t="s">
        <v>43</v>
      </c>
      <c r="D82" s="108" t="s">
        <v>151</v>
      </c>
      <c r="E82" s="109" t="s">
        <v>152</v>
      </c>
      <c r="F82" s="110">
        <v>973373.96</v>
      </c>
      <c r="G82" s="111">
        <v>44663</v>
      </c>
      <c r="H82" s="111">
        <v>44663</v>
      </c>
      <c r="I82" s="111">
        <v>45028</v>
      </c>
      <c r="J82" s="113" t="s">
        <v>30</v>
      </c>
      <c r="K82" s="114" t="s">
        <v>213</v>
      </c>
      <c r="L82" s="115" t="s">
        <v>28</v>
      </c>
      <c r="M82" s="107" t="s">
        <v>34</v>
      </c>
    </row>
    <row r="83" spans="1:13" s="116" customFormat="1" ht="96" customHeight="1">
      <c r="A83" s="105" t="str">
        <f t="shared" si="1"/>
        <v>21EB0145ADVANCE PAYMENT BOND</v>
      </c>
      <c r="B83" s="106">
        <v>34</v>
      </c>
      <c r="C83" s="119" t="s">
        <v>75</v>
      </c>
      <c r="D83" s="108" t="s">
        <v>146</v>
      </c>
      <c r="E83" s="109" t="s">
        <v>147</v>
      </c>
      <c r="F83" s="110">
        <v>653382.69999999995</v>
      </c>
      <c r="G83" s="111">
        <v>44663</v>
      </c>
      <c r="H83" s="111">
        <v>44663</v>
      </c>
      <c r="I83" s="111">
        <v>45028</v>
      </c>
      <c r="J83" s="113" t="s">
        <v>30</v>
      </c>
      <c r="K83" s="114" t="s">
        <v>214</v>
      </c>
      <c r="L83" s="115" t="s">
        <v>28</v>
      </c>
      <c r="M83" s="107" t="s">
        <v>34</v>
      </c>
    </row>
    <row r="84" spans="1:13" s="116" customFormat="1" ht="96" customHeight="1">
      <c r="A84" s="105" t="str">
        <f t="shared" si="1"/>
        <v>21EB0136ADVANCE PAYMENT BOND</v>
      </c>
      <c r="B84" s="106">
        <v>34</v>
      </c>
      <c r="C84" s="119" t="s">
        <v>75</v>
      </c>
      <c r="D84" s="108" t="s">
        <v>174</v>
      </c>
      <c r="E84" s="109" t="s">
        <v>175</v>
      </c>
      <c r="F84" s="110">
        <v>326675.11</v>
      </c>
      <c r="G84" s="111">
        <v>44663</v>
      </c>
      <c r="H84" s="111">
        <v>44663</v>
      </c>
      <c r="I84" s="111">
        <v>45028</v>
      </c>
      <c r="J84" s="113" t="s">
        <v>30</v>
      </c>
      <c r="K84" s="114" t="s">
        <v>215</v>
      </c>
      <c r="L84" s="115" t="s">
        <v>28</v>
      </c>
      <c r="M84" s="107" t="s">
        <v>34</v>
      </c>
    </row>
    <row r="85" spans="1:13" s="116" customFormat="1" ht="113.25" customHeight="1">
      <c r="A85" s="105" t="str">
        <f t="shared" si="1"/>
        <v>22EB0086ADVANCE PAYMENT BOND</v>
      </c>
      <c r="B85" s="106">
        <v>42</v>
      </c>
      <c r="C85" s="119" t="s">
        <v>166</v>
      </c>
      <c r="D85" s="108" t="s">
        <v>167</v>
      </c>
      <c r="E85" s="109" t="s">
        <v>168</v>
      </c>
      <c r="F85" s="110">
        <v>830313.66</v>
      </c>
      <c r="G85" s="111">
        <v>44663</v>
      </c>
      <c r="H85" s="111">
        <v>44663</v>
      </c>
      <c r="I85" s="111">
        <v>45028</v>
      </c>
      <c r="J85" s="113" t="s">
        <v>30</v>
      </c>
      <c r="K85" s="114" t="s">
        <v>216</v>
      </c>
      <c r="L85" s="115" t="s">
        <v>28</v>
      </c>
      <c r="M85" s="107" t="s">
        <v>34</v>
      </c>
    </row>
    <row r="86" spans="1:13" s="116" customFormat="1" ht="113.25" customHeight="1">
      <c r="A86" s="105" t="str">
        <f t="shared" si="1"/>
        <v>22EB0101ADVANCE PAYMENT BOND</v>
      </c>
      <c r="B86" s="106">
        <v>43</v>
      </c>
      <c r="C86" s="119" t="s">
        <v>170</v>
      </c>
      <c r="D86" s="108" t="s">
        <v>171</v>
      </c>
      <c r="E86" s="109" t="s">
        <v>172</v>
      </c>
      <c r="F86" s="110">
        <v>738777.96</v>
      </c>
      <c r="G86" s="111">
        <v>44663</v>
      </c>
      <c r="H86" s="111">
        <v>44663</v>
      </c>
      <c r="I86" s="111">
        <v>45028</v>
      </c>
      <c r="J86" s="113" t="s">
        <v>30</v>
      </c>
      <c r="K86" s="114" t="s">
        <v>217</v>
      </c>
      <c r="L86" s="115" t="s">
        <v>28</v>
      </c>
      <c r="M86" s="107" t="s">
        <v>34</v>
      </c>
    </row>
    <row r="87" spans="1:13" s="116" customFormat="1" ht="96" customHeight="1">
      <c r="A87" s="105" t="str">
        <f t="shared" si="1"/>
        <v>22EB0088ADVANCE PAYMENT BOND</v>
      </c>
      <c r="B87" s="106">
        <v>34</v>
      </c>
      <c r="C87" s="119" t="s">
        <v>75</v>
      </c>
      <c r="D87" s="108" t="s">
        <v>154</v>
      </c>
      <c r="E87" s="109" t="s">
        <v>155</v>
      </c>
      <c r="F87" s="110">
        <v>1565785.46</v>
      </c>
      <c r="G87" s="111">
        <v>44663</v>
      </c>
      <c r="H87" s="111">
        <v>44663</v>
      </c>
      <c r="I87" s="111">
        <v>45028</v>
      </c>
      <c r="J87" s="113" t="s">
        <v>30</v>
      </c>
      <c r="K87" s="114" t="s">
        <v>218</v>
      </c>
      <c r="L87" s="115" t="s">
        <v>28</v>
      </c>
      <c r="M87" s="107" t="s">
        <v>34</v>
      </c>
    </row>
    <row r="88" spans="1:13" s="116" customFormat="1" ht="96" customHeight="1">
      <c r="A88" s="105" t="str">
        <f t="shared" si="1"/>
        <v>22EB0085ADVANCE PAYMENT BOND</v>
      </c>
      <c r="B88" s="106">
        <v>34</v>
      </c>
      <c r="C88" s="119" t="s">
        <v>43</v>
      </c>
      <c r="D88" s="108" t="s">
        <v>148</v>
      </c>
      <c r="E88" s="109" t="s">
        <v>149</v>
      </c>
      <c r="F88" s="110">
        <v>1036243.78</v>
      </c>
      <c r="G88" s="111">
        <v>44663</v>
      </c>
      <c r="H88" s="111">
        <v>44663</v>
      </c>
      <c r="I88" s="111">
        <v>45028</v>
      </c>
      <c r="J88" s="113" t="s">
        <v>30</v>
      </c>
      <c r="K88" s="114" t="s">
        <v>219</v>
      </c>
      <c r="L88" s="115" t="s">
        <v>28</v>
      </c>
      <c r="M88" s="107" t="s">
        <v>34</v>
      </c>
    </row>
    <row r="89" spans="1:13" s="116" customFormat="1" ht="96" customHeight="1">
      <c r="A89" s="105" t="str">
        <f t="shared" si="1"/>
        <v>21EB0143-R1ADVANCE PAYMENT BOND</v>
      </c>
      <c r="B89" s="106">
        <v>34</v>
      </c>
      <c r="C89" s="119" t="s">
        <v>75</v>
      </c>
      <c r="D89" s="108" t="s">
        <v>143</v>
      </c>
      <c r="E89" s="109" t="s">
        <v>144</v>
      </c>
      <c r="F89" s="110">
        <v>567887.91</v>
      </c>
      <c r="G89" s="111">
        <v>44663</v>
      </c>
      <c r="H89" s="111">
        <v>44663</v>
      </c>
      <c r="I89" s="111">
        <v>45028</v>
      </c>
      <c r="J89" s="113" t="s">
        <v>30</v>
      </c>
      <c r="K89" s="114" t="s">
        <v>220</v>
      </c>
      <c r="L89" s="115" t="s">
        <v>28</v>
      </c>
      <c r="M89" s="107" t="s">
        <v>34</v>
      </c>
    </row>
    <row r="90" spans="1:13" s="116" customFormat="1" ht="109.5" customHeight="1">
      <c r="A90" s="105" t="str">
        <f t="shared" si="1"/>
        <v>22EB0012ADVANCE PAYMENT BOND</v>
      </c>
      <c r="B90" s="106">
        <v>60</v>
      </c>
      <c r="C90" s="119" t="s">
        <v>67</v>
      </c>
      <c r="D90" s="108" t="s">
        <v>194</v>
      </c>
      <c r="E90" s="109" t="s">
        <v>195</v>
      </c>
      <c r="F90" s="110">
        <v>5875434.2000000002</v>
      </c>
      <c r="G90" s="111">
        <v>44663</v>
      </c>
      <c r="H90" s="111">
        <v>44663</v>
      </c>
      <c r="I90" s="111">
        <v>45028</v>
      </c>
      <c r="J90" s="113" t="s">
        <v>30</v>
      </c>
      <c r="K90" s="114" t="s">
        <v>221</v>
      </c>
      <c r="L90" s="115" t="s">
        <v>28</v>
      </c>
      <c r="M90" s="107" t="s">
        <v>34</v>
      </c>
    </row>
    <row r="91" spans="1:13" s="116" customFormat="1" ht="109.5" customHeight="1">
      <c r="A91" s="105" t="str">
        <f t="shared" si="1"/>
        <v>22EB0008ADVANCE PAYMENT BOND</v>
      </c>
      <c r="B91" s="106">
        <v>64</v>
      </c>
      <c r="C91" s="119" t="s">
        <v>44</v>
      </c>
      <c r="D91" s="108" t="s">
        <v>200</v>
      </c>
      <c r="E91" s="109" t="s">
        <v>207</v>
      </c>
      <c r="F91" s="110">
        <v>4533391.1500000004</v>
      </c>
      <c r="G91" s="111">
        <v>44663</v>
      </c>
      <c r="H91" s="111">
        <v>44663</v>
      </c>
      <c r="I91" s="111">
        <v>45028</v>
      </c>
      <c r="J91" s="113" t="s">
        <v>30</v>
      </c>
      <c r="K91" s="114" t="s">
        <v>222</v>
      </c>
      <c r="L91" s="115" t="s">
        <v>28</v>
      </c>
      <c r="M91" s="107" t="s">
        <v>34</v>
      </c>
    </row>
    <row r="92" spans="1:13" s="116" customFormat="1" ht="79.5" customHeight="1">
      <c r="A92" s="105" t="str">
        <f t="shared" si="1"/>
        <v>22EB0098CONTRACTOR'S ALL RISK POLICY</v>
      </c>
      <c r="B92" s="106">
        <v>79</v>
      </c>
      <c r="C92" s="107" t="s">
        <v>36</v>
      </c>
      <c r="D92" s="108" t="s">
        <v>223</v>
      </c>
      <c r="E92" s="109" t="s">
        <v>224</v>
      </c>
      <c r="F92" s="110">
        <v>46571751.780000001</v>
      </c>
      <c r="G92" s="111">
        <v>44645</v>
      </c>
      <c r="H92" s="111">
        <v>44645</v>
      </c>
      <c r="I92" s="111">
        <v>45010</v>
      </c>
      <c r="J92" s="113" t="s">
        <v>30</v>
      </c>
      <c r="K92" s="114" t="s">
        <v>225</v>
      </c>
      <c r="L92" s="115" t="s">
        <v>28</v>
      </c>
      <c r="M92" s="107" t="s">
        <v>31</v>
      </c>
    </row>
    <row r="93" spans="1:13" s="116" customFormat="1" ht="79.5" customHeight="1">
      <c r="A93" s="105" t="str">
        <f t="shared" si="1"/>
        <v xml:space="preserve">22EB0098PERFORMANCE BOND </v>
      </c>
      <c r="B93" s="106">
        <v>79</v>
      </c>
      <c r="C93" s="107" t="s">
        <v>36</v>
      </c>
      <c r="D93" s="108" t="s">
        <v>223</v>
      </c>
      <c r="E93" s="109" t="s">
        <v>224</v>
      </c>
      <c r="F93" s="110">
        <v>13971525.529999999</v>
      </c>
      <c r="G93" s="111">
        <v>44643</v>
      </c>
      <c r="H93" s="111">
        <v>44643</v>
      </c>
      <c r="I93" s="111">
        <v>45374</v>
      </c>
      <c r="J93" s="113" t="s">
        <v>30</v>
      </c>
      <c r="K93" s="114" t="s">
        <v>226</v>
      </c>
      <c r="L93" s="115" t="s">
        <v>28</v>
      </c>
      <c r="M93" s="107" t="s">
        <v>29</v>
      </c>
    </row>
    <row r="94" spans="1:13" s="116" customFormat="1" ht="122.25" customHeight="1">
      <c r="A94" s="105" t="str">
        <f t="shared" si="1"/>
        <v xml:space="preserve">20EB0054PERFORMANCE BOND </v>
      </c>
      <c r="B94" s="106">
        <v>81</v>
      </c>
      <c r="C94" s="111" t="s">
        <v>227</v>
      </c>
      <c r="D94" s="108" t="s">
        <v>228</v>
      </c>
      <c r="E94" s="109" t="s">
        <v>229</v>
      </c>
      <c r="F94" s="110">
        <v>10333318.74</v>
      </c>
      <c r="G94" s="111">
        <v>44614</v>
      </c>
      <c r="H94" s="111">
        <v>44614</v>
      </c>
      <c r="I94" s="111">
        <v>44979</v>
      </c>
      <c r="J94" s="113" t="s">
        <v>30</v>
      </c>
      <c r="K94" s="114" t="s">
        <v>230</v>
      </c>
      <c r="L94" s="115" t="s">
        <v>28</v>
      </c>
      <c r="M94" s="107" t="s">
        <v>29</v>
      </c>
    </row>
    <row r="95" spans="1:13" s="116" customFormat="1" ht="82.5" customHeight="1">
      <c r="A95" s="105" t="str">
        <f t="shared" si="1"/>
        <v xml:space="preserve">22EB0037PERFORMANCE BOND </v>
      </c>
      <c r="B95" s="106">
        <v>82</v>
      </c>
      <c r="C95" s="107" t="s">
        <v>231</v>
      </c>
      <c r="D95" s="108" t="s">
        <v>232</v>
      </c>
      <c r="E95" s="121" t="s">
        <v>233</v>
      </c>
      <c r="F95" s="110">
        <v>8424820.4600000009</v>
      </c>
      <c r="G95" s="111">
        <v>44650</v>
      </c>
      <c r="H95" s="111">
        <v>44650</v>
      </c>
      <c r="I95" s="111">
        <v>45381</v>
      </c>
      <c r="J95" s="113" t="s">
        <v>234</v>
      </c>
      <c r="K95" s="114" t="s">
        <v>235</v>
      </c>
      <c r="L95" s="115" t="s">
        <v>28</v>
      </c>
      <c r="M95" s="107" t="s">
        <v>29</v>
      </c>
    </row>
    <row r="96" spans="1:13" s="116" customFormat="1" ht="82.5" customHeight="1">
      <c r="A96" s="105" t="str">
        <f t="shared" si="1"/>
        <v>22EB0037CONTRACTOR'S ALL RISK POLICY</v>
      </c>
      <c r="B96" s="106">
        <v>82</v>
      </c>
      <c r="C96" s="107" t="s">
        <v>231</v>
      </c>
      <c r="D96" s="108" t="s">
        <v>232</v>
      </c>
      <c r="E96" s="121" t="s">
        <v>233</v>
      </c>
      <c r="F96" s="110">
        <v>28082734.870000001</v>
      </c>
      <c r="G96" s="111">
        <v>44650</v>
      </c>
      <c r="H96" s="111">
        <v>44650</v>
      </c>
      <c r="I96" s="111">
        <v>45015</v>
      </c>
      <c r="J96" s="113" t="s">
        <v>30</v>
      </c>
      <c r="K96" s="114" t="s">
        <v>236</v>
      </c>
      <c r="L96" s="115" t="s">
        <v>28</v>
      </c>
      <c r="M96" s="107" t="s">
        <v>31</v>
      </c>
    </row>
    <row r="97" spans="1:13" s="116" customFormat="1" ht="82.5" customHeight="1">
      <c r="A97" s="105" t="str">
        <f t="shared" si="1"/>
        <v>22EB0037ADVANCE PAYMENT BOND</v>
      </c>
      <c r="B97" s="106">
        <v>82</v>
      </c>
      <c r="C97" s="107" t="s">
        <v>231</v>
      </c>
      <c r="D97" s="108" t="s">
        <v>232</v>
      </c>
      <c r="E97" s="121" t="s">
        <v>233</v>
      </c>
      <c r="F97" s="110">
        <v>4212410.2300000004</v>
      </c>
      <c r="G97" s="111">
        <v>44663</v>
      </c>
      <c r="H97" s="111">
        <v>44663</v>
      </c>
      <c r="I97" s="111">
        <v>45028</v>
      </c>
      <c r="J97" s="113" t="s">
        <v>30</v>
      </c>
      <c r="K97" s="114" t="s">
        <v>237</v>
      </c>
      <c r="L97" s="115" t="s">
        <v>28</v>
      </c>
      <c r="M97" s="107" t="s">
        <v>34</v>
      </c>
    </row>
    <row r="98" spans="1:13" s="116" customFormat="1" ht="79.5" customHeight="1">
      <c r="A98" s="105" t="str">
        <f t="shared" si="1"/>
        <v>22EB0098ADVANCE PAYMENT BOND</v>
      </c>
      <c r="B98" s="106">
        <v>79</v>
      </c>
      <c r="C98" s="107" t="s">
        <v>36</v>
      </c>
      <c r="D98" s="108" t="s">
        <v>223</v>
      </c>
      <c r="E98" s="109" t="s">
        <v>224</v>
      </c>
      <c r="F98" s="110">
        <v>6985762.7699999996</v>
      </c>
      <c r="G98" s="111">
        <v>44669</v>
      </c>
      <c r="H98" s="111">
        <v>44669</v>
      </c>
      <c r="I98" s="111">
        <v>45034</v>
      </c>
      <c r="J98" s="113" t="s">
        <v>30</v>
      </c>
      <c r="K98" s="114" t="s">
        <v>238</v>
      </c>
      <c r="L98" s="115" t="s">
        <v>28</v>
      </c>
      <c r="M98" s="107" t="s">
        <v>34</v>
      </c>
    </row>
    <row r="99" spans="1:13" s="116" customFormat="1" ht="113.25" customHeight="1">
      <c r="A99" s="105" t="str">
        <f t="shared" si="1"/>
        <v>21EB0115RETENTION BOND</v>
      </c>
      <c r="B99" s="106">
        <v>86</v>
      </c>
      <c r="C99" s="119" t="s">
        <v>82</v>
      </c>
      <c r="D99" s="108" t="s">
        <v>239</v>
      </c>
      <c r="E99" s="109" t="s">
        <v>240</v>
      </c>
      <c r="F99" s="110">
        <v>191979.46</v>
      </c>
      <c r="G99" s="111">
        <v>44617</v>
      </c>
      <c r="H99" s="111">
        <v>44617</v>
      </c>
      <c r="I99" s="111">
        <v>44982</v>
      </c>
      <c r="J99" s="113" t="s">
        <v>30</v>
      </c>
      <c r="K99" s="114" t="s">
        <v>241</v>
      </c>
      <c r="L99" s="115" t="s">
        <v>35</v>
      </c>
      <c r="M99" s="107" t="s">
        <v>33</v>
      </c>
    </row>
    <row r="100" spans="1:13" s="116" customFormat="1" ht="113.25" customHeight="1">
      <c r="A100" s="105" t="str">
        <f t="shared" si="1"/>
        <v>21EB0117RETENTION BOND</v>
      </c>
      <c r="B100" s="106">
        <v>86</v>
      </c>
      <c r="C100" s="119" t="s">
        <v>82</v>
      </c>
      <c r="D100" s="108" t="s">
        <v>242</v>
      </c>
      <c r="E100" s="109" t="s">
        <v>243</v>
      </c>
      <c r="F100" s="110">
        <v>195922.53</v>
      </c>
      <c r="G100" s="111">
        <v>44617</v>
      </c>
      <c r="H100" s="111">
        <v>44617</v>
      </c>
      <c r="I100" s="111">
        <v>44982</v>
      </c>
      <c r="J100" s="113" t="s">
        <v>30</v>
      </c>
      <c r="K100" s="114" t="s">
        <v>244</v>
      </c>
      <c r="L100" s="115" t="s">
        <v>35</v>
      </c>
      <c r="M100" s="107" t="s">
        <v>33</v>
      </c>
    </row>
    <row r="101" spans="1:13" s="116" customFormat="1" ht="109.5" customHeight="1">
      <c r="A101" s="105" t="str">
        <f t="shared" si="1"/>
        <v>20EB0019WARRANTY BOND</v>
      </c>
      <c r="B101" s="106">
        <v>88</v>
      </c>
      <c r="C101" s="119" t="s">
        <v>189</v>
      </c>
      <c r="D101" s="108" t="s">
        <v>245</v>
      </c>
      <c r="E101" s="109" t="s">
        <v>246</v>
      </c>
      <c r="F101" s="110">
        <v>14696047.810000001</v>
      </c>
      <c r="G101" s="111">
        <v>44613</v>
      </c>
      <c r="H101" s="111">
        <v>44613</v>
      </c>
      <c r="I101" s="111">
        <v>44978</v>
      </c>
      <c r="J101" s="113" t="s">
        <v>30</v>
      </c>
      <c r="K101" s="114" t="s">
        <v>247</v>
      </c>
      <c r="L101" s="115" t="s">
        <v>193</v>
      </c>
      <c r="M101" s="107" t="s">
        <v>37</v>
      </c>
    </row>
    <row r="102" spans="1:13" s="116" customFormat="1" ht="109.5" customHeight="1">
      <c r="A102" s="105" t="str">
        <f t="shared" si="1"/>
        <v>22EB0100ADVANCE PAYMENT BOND</v>
      </c>
      <c r="B102" s="106">
        <v>89</v>
      </c>
      <c r="C102" s="119" t="s">
        <v>73</v>
      </c>
      <c r="D102" s="108" t="s">
        <v>248</v>
      </c>
      <c r="E102" s="109" t="s">
        <v>249</v>
      </c>
      <c r="F102" s="110">
        <v>6909553.7000000002</v>
      </c>
      <c r="G102" s="111">
        <v>44663</v>
      </c>
      <c r="H102" s="111">
        <v>44663</v>
      </c>
      <c r="I102" s="111">
        <v>45028</v>
      </c>
      <c r="J102" s="113" t="s">
        <v>30</v>
      </c>
      <c r="K102" s="114" t="s">
        <v>250</v>
      </c>
      <c r="L102" s="115" t="s">
        <v>32</v>
      </c>
      <c r="M102" s="107" t="s">
        <v>34</v>
      </c>
    </row>
    <row r="103" spans="1:13" s="116" customFormat="1" ht="109.5" customHeight="1">
      <c r="A103" s="105" t="str">
        <f t="shared" si="1"/>
        <v>22EB0095ADVANCE PAYMENT BOND</v>
      </c>
      <c r="B103" s="106">
        <v>89</v>
      </c>
      <c r="C103" s="119" t="s">
        <v>73</v>
      </c>
      <c r="D103" s="108" t="s">
        <v>251</v>
      </c>
      <c r="E103" s="109" t="s">
        <v>252</v>
      </c>
      <c r="F103" s="110">
        <v>13825415.310000001</v>
      </c>
      <c r="G103" s="111">
        <v>44676</v>
      </c>
      <c r="H103" s="111">
        <v>44676</v>
      </c>
      <c r="I103" s="111">
        <v>45041</v>
      </c>
      <c r="J103" s="113" t="s">
        <v>30</v>
      </c>
      <c r="K103" s="114" t="s">
        <v>253</v>
      </c>
      <c r="L103" s="115" t="s">
        <v>32</v>
      </c>
      <c r="M103" s="107" t="s">
        <v>34</v>
      </c>
    </row>
    <row r="104" spans="1:13" s="116" customFormat="1" ht="109.5" customHeight="1">
      <c r="A104" s="105" t="str">
        <f t="shared" si="1"/>
        <v xml:space="preserve">22EB0100PERFORMANCE BOND </v>
      </c>
      <c r="B104" s="106">
        <v>89</v>
      </c>
      <c r="C104" s="119" t="s">
        <v>73</v>
      </c>
      <c r="D104" s="108" t="s">
        <v>248</v>
      </c>
      <c r="E104" s="109" t="s">
        <v>249</v>
      </c>
      <c r="F104" s="110">
        <v>13819107.41</v>
      </c>
      <c r="G104" s="111">
        <v>44648</v>
      </c>
      <c r="H104" s="111">
        <v>44648</v>
      </c>
      <c r="I104" s="111">
        <v>45379</v>
      </c>
      <c r="J104" s="113" t="s">
        <v>30</v>
      </c>
      <c r="K104" s="114" t="s">
        <v>254</v>
      </c>
      <c r="L104" s="115" t="s">
        <v>32</v>
      </c>
      <c r="M104" s="107" t="s">
        <v>29</v>
      </c>
    </row>
    <row r="105" spans="1:13" s="116" customFormat="1" ht="109.5" customHeight="1">
      <c r="A105" s="105" t="str">
        <f t="shared" si="1"/>
        <v>22EB0100CONTRACTOR'S ALL RISK POLICY</v>
      </c>
      <c r="B105" s="106">
        <v>89</v>
      </c>
      <c r="C105" s="119" t="s">
        <v>73</v>
      </c>
      <c r="D105" s="108" t="s">
        <v>248</v>
      </c>
      <c r="E105" s="109" t="s">
        <v>249</v>
      </c>
      <c r="F105" s="110">
        <v>13819107.41</v>
      </c>
      <c r="G105" s="111">
        <v>44662</v>
      </c>
      <c r="H105" s="111">
        <v>44662</v>
      </c>
      <c r="I105" s="111">
        <v>45027</v>
      </c>
      <c r="J105" s="113" t="s">
        <v>30</v>
      </c>
      <c r="K105" s="114" t="s">
        <v>255</v>
      </c>
      <c r="L105" s="115" t="s">
        <v>32</v>
      </c>
      <c r="M105" s="107" t="s">
        <v>31</v>
      </c>
    </row>
    <row r="106" spans="1:13" s="116" customFormat="1" ht="109.5" customHeight="1">
      <c r="A106" s="105" t="str">
        <f t="shared" si="1"/>
        <v>22EB0095CONTRACTOR'S ALL RISK POLICY</v>
      </c>
      <c r="B106" s="106">
        <v>89</v>
      </c>
      <c r="C106" s="119" t="s">
        <v>73</v>
      </c>
      <c r="D106" s="108" t="s">
        <v>251</v>
      </c>
      <c r="E106" s="109" t="s">
        <v>252</v>
      </c>
      <c r="F106" s="110">
        <v>92169435.390000001</v>
      </c>
      <c r="G106" s="111">
        <v>44676</v>
      </c>
      <c r="H106" s="111">
        <v>44676</v>
      </c>
      <c r="I106" s="111">
        <v>45041</v>
      </c>
      <c r="J106" s="113" t="s">
        <v>30</v>
      </c>
      <c r="K106" s="114" t="s">
        <v>255</v>
      </c>
      <c r="L106" s="115" t="s">
        <v>32</v>
      </c>
      <c r="M106" s="107" t="s">
        <v>31</v>
      </c>
    </row>
    <row r="107" spans="1:13" s="116" customFormat="1" ht="109.5" customHeight="1">
      <c r="A107" s="105" t="str">
        <f t="shared" si="1"/>
        <v xml:space="preserve">22EB0095PERFORMANCE BOND </v>
      </c>
      <c r="B107" s="106">
        <v>89</v>
      </c>
      <c r="C107" s="119" t="s">
        <v>73</v>
      </c>
      <c r="D107" s="108" t="s">
        <v>251</v>
      </c>
      <c r="E107" s="109" t="s">
        <v>252</v>
      </c>
      <c r="F107" s="110">
        <v>27650830.620000001</v>
      </c>
      <c r="G107" s="111">
        <v>44655</v>
      </c>
      <c r="H107" s="111">
        <v>44655</v>
      </c>
      <c r="I107" s="111">
        <v>45020</v>
      </c>
      <c r="J107" s="113" t="s">
        <v>30</v>
      </c>
      <c r="K107" s="114" t="s">
        <v>256</v>
      </c>
      <c r="L107" s="115" t="s">
        <v>32</v>
      </c>
      <c r="M107" s="107" t="s">
        <v>29</v>
      </c>
    </row>
    <row r="108" spans="1:13" s="116" customFormat="1" ht="113.25" customHeight="1">
      <c r="A108" s="105" t="str">
        <f t="shared" si="1"/>
        <v>22EB0089ADVANCE PAYMENT BOND</v>
      </c>
      <c r="B108" s="106">
        <v>95</v>
      </c>
      <c r="C108" s="119" t="s">
        <v>257</v>
      </c>
      <c r="D108" s="108" t="s">
        <v>258</v>
      </c>
      <c r="E108" s="109" t="s">
        <v>259</v>
      </c>
      <c r="F108" s="110">
        <v>1511829.78</v>
      </c>
      <c r="G108" s="111">
        <v>44663</v>
      </c>
      <c r="H108" s="111">
        <v>44663</v>
      </c>
      <c r="I108" s="111">
        <v>45028</v>
      </c>
      <c r="J108" s="113" t="s">
        <v>30</v>
      </c>
      <c r="K108" s="114" t="s">
        <v>260</v>
      </c>
      <c r="L108" s="115" t="s">
        <v>28</v>
      </c>
      <c r="M108" s="107" t="s">
        <v>34</v>
      </c>
    </row>
    <row r="109" spans="1:13" s="116" customFormat="1" ht="113.25" customHeight="1">
      <c r="A109" s="105" t="str">
        <f t="shared" si="1"/>
        <v xml:space="preserve">22EB0089PERFORMANCE BOND </v>
      </c>
      <c r="B109" s="106">
        <v>95</v>
      </c>
      <c r="C109" s="119" t="s">
        <v>257</v>
      </c>
      <c r="D109" s="108" t="s">
        <v>258</v>
      </c>
      <c r="E109" s="109" t="s">
        <v>259</v>
      </c>
      <c r="F109" s="110">
        <v>3023659.56</v>
      </c>
      <c r="G109" s="111">
        <v>44648</v>
      </c>
      <c r="H109" s="111">
        <v>44648</v>
      </c>
      <c r="I109" s="111">
        <v>45379</v>
      </c>
      <c r="J109" s="113" t="s">
        <v>27</v>
      </c>
      <c r="K109" s="114" t="s">
        <v>261</v>
      </c>
      <c r="L109" s="115" t="s">
        <v>28</v>
      </c>
      <c r="M109" s="107" t="s">
        <v>29</v>
      </c>
    </row>
    <row r="110" spans="1:13" s="116" customFormat="1" ht="113.25" customHeight="1">
      <c r="A110" s="105" t="str">
        <f t="shared" si="1"/>
        <v>22EB0089CONTRACTOR'S ALL RISK POLICY</v>
      </c>
      <c r="B110" s="106">
        <v>95</v>
      </c>
      <c r="C110" s="119" t="s">
        <v>257</v>
      </c>
      <c r="D110" s="108" t="s">
        <v>258</v>
      </c>
      <c r="E110" s="109" t="s">
        <v>259</v>
      </c>
      <c r="F110" s="110">
        <v>10078865.210000001</v>
      </c>
      <c r="G110" s="111">
        <v>44648</v>
      </c>
      <c r="H110" s="111">
        <v>44648</v>
      </c>
      <c r="I110" s="111">
        <v>45013</v>
      </c>
      <c r="J110" s="113" t="s">
        <v>30</v>
      </c>
      <c r="K110" s="114" t="s">
        <v>262</v>
      </c>
      <c r="L110" s="115" t="s">
        <v>28</v>
      </c>
      <c r="M110" s="107" t="s">
        <v>31</v>
      </c>
    </row>
    <row r="111" spans="1:13" s="116" customFormat="1" ht="113.25" customHeight="1">
      <c r="A111" s="105" t="str">
        <f t="shared" si="1"/>
        <v>21EB0029RETENTION BOND</v>
      </c>
      <c r="B111" s="106">
        <v>98</v>
      </c>
      <c r="C111" s="119" t="s">
        <v>45</v>
      </c>
      <c r="D111" s="108" t="s">
        <v>263</v>
      </c>
      <c r="E111" s="109" t="s">
        <v>264</v>
      </c>
      <c r="F111" s="110">
        <v>2478416.7000000002</v>
      </c>
      <c r="G111" s="111">
        <v>44686</v>
      </c>
      <c r="H111" s="111">
        <v>44686</v>
      </c>
      <c r="I111" s="111">
        <v>45051</v>
      </c>
      <c r="J111" s="113" t="s">
        <v>30</v>
      </c>
      <c r="K111" s="114" t="s">
        <v>265</v>
      </c>
      <c r="L111" s="115" t="s">
        <v>35</v>
      </c>
      <c r="M111" s="107" t="s">
        <v>33</v>
      </c>
    </row>
    <row r="112" spans="1:13" s="116" customFormat="1" ht="113.25" customHeight="1">
      <c r="A112" s="105" t="str">
        <f t="shared" si="1"/>
        <v>21EB0071RETENTION BOND</v>
      </c>
      <c r="B112" s="106">
        <v>99</v>
      </c>
      <c r="C112" s="119" t="s">
        <v>71</v>
      </c>
      <c r="D112" s="108" t="s">
        <v>266</v>
      </c>
      <c r="E112" s="109" t="s">
        <v>267</v>
      </c>
      <c r="F112" s="110">
        <v>2562062.44</v>
      </c>
      <c r="G112" s="111">
        <v>44686</v>
      </c>
      <c r="H112" s="111">
        <v>44686</v>
      </c>
      <c r="I112" s="111">
        <v>45051</v>
      </c>
      <c r="J112" s="113" t="s">
        <v>30</v>
      </c>
      <c r="K112" s="114" t="s">
        <v>268</v>
      </c>
      <c r="L112" s="115" t="s">
        <v>69</v>
      </c>
      <c r="M112" s="107" t="s">
        <v>33</v>
      </c>
    </row>
    <row r="113" spans="1:13" s="116" customFormat="1" ht="90.75" customHeight="1">
      <c r="A113" s="105" t="str">
        <f t="shared" si="1"/>
        <v>21EB0129RETENTION BOND</v>
      </c>
      <c r="B113" s="106">
        <v>100</v>
      </c>
      <c r="C113" s="107" t="s">
        <v>81</v>
      </c>
      <c r="D113" s="108" t="s">
        <v>271</v>
      </c>
      <c r="E113" s="109" t="s">
        <v>272</v>
      </c>
      <c r="F113" s="110">
        <v>195974.35</v>
      </c>
      <c r="G113" s="111">
        <v>44693</v>
      </c>
      <c r="H113" s="111">
        <v>44693</v>
      </c>
      <c r="I113" s="111">
        <v>45058</v>
      </c>
      <c r="J113" s="113" t="s">
        <v>30</v>
      </c>
      <c r="K113" s="114" t="s">
        <v>273</v>
      </c>
      <c r="L113" s="115" t="s">
        <v>28</v>
      </c>
      <c r="M113" s="107" t="s">
        <v>33</v>
      </c>
    </row>
    <row r="114" spans="1:13" s="116" customFormat="1" ht="96" customHeight="1">
      <c r="A114" s="105" t="str">
        <f t="shared" si="1"/>
        <v>21EB0053RETENTION BOND</v>
      </c>
      <c r="B114" s="106">
        <v>101</v>
      </c>
      <c r="C114" s="119" t="s">
        <v>68</v>
      </c>
      <c r="D114" s="108" t="s">
        <v>274</v>
      </c>
      <c r="E114" s="109" t="s">
        <v>275</v>
      </c>
      <c r="F114" s="110">
        <v>1917026.95</v>
      </c>
      <c r="G114" s="111">
        <v>44686</v>
      </c>
      <c r="H114" s="111">
        <v>44686</v>
      </c>
      <c r="I114" s="111">
        <v>45051</v>
      </c>
      <c r="J114" s="113" t="s">
        <v>30</v>
      </c>
      <c r="K114" s="114" t="s">
        <v>276</v>
      </c>
      <c r="L114" s="115" t="s">
        <v>69</v>
      </c>
      <c r="M114" s="107" t="s">
        <v>33</v>
      </c>
    </row>
    <row r="115" spans="1:13" s="116" customFormat="1" ht="109.5" customHeight="1">
      <c r="A115" s="105" t="str">
        <f t="shared" si="1"/>
        <v>21EB0035RETENTION BOND</v>
      </c>
      <c r="B115" s="106">
        <v>102</v>
      </c>
      <c r="C115" s="119" t="s">
        <v>36</v>
      </c>
      <c r="D115" s="108" t="s">
        <v>277</v>
      </c>
      <c r="E115" s="109" t="s">
        <v>278</v>
      </c>
      <c r="F115" s="110">
        <v>1067480.8600000001</v>
      </c>
      <c r="G115" s="111">
        <v>44657</v>
      </c>
      <c r="H115" s="111">
        <v>44657</v>
      </c>
      <c r="I115" s="111">
        <v>45022</v>
      </c>
      <c r="J115" s="113" t="s">
        <v>30</v>
      </c>
      <c r="K115" s="114" t="s">
        <v>279</v>
      </c>
      <c r="L115" s="115" t="s">
        <v>28</v>
      </c>
      <c r="M115" s="107" t="s">
        <v>33</v>
      </c>
    </row>
    <row r="116" spans="1:13" s="116" customFormat="1" ht="109.5" customHeight="1">
      <c r="A116" s="105" t="str">
        <f t="shared" si="1"/>
        <v>21EB0132RETENTION BOND</v>
      </c>
      <c r="B116" s="106">
        <v>103</v>
      </c>
      <c r="C116" s="119" t="s">
        <v>280</v>
      </c>
      <c r="D116" s="108" t="s">
        <v>281</v>
      </c>
      <c r="E116" s="109" t="s">
        <v>282</v>
      </c>
      <c r="F116" s="110">
        <v>179075.27</v>
      </c>
      <c r="G116" s="111">
        <v>44712</v>
      </c>
      <c r="H116" s="111">
        <v>44712</v>
      </c>
      <c r="I116" s="111">
        <v>45077</v>
      </c>
      <c r="J116" s="113" t="s">
        <v>30</v>
      </c>
      <c r="K116" s="114" t="s">
        <v>283</v>
      </c>
      <c r="L116" s="115" t="s">
        <v>28</v>
      </c>
      <c r="M116" s="107" t="s">
        <v>33</v>
      </c>
    </row>
    <row r="117" spans="1:13" s="116" customFormat="1" ht="109.5" customHeight="1">
      <c r="A117" s="105" t="str">
        <f t="shared" si="1"/>
        <v>21EB0130RETENTION BOND</v>
      </c>
      <c r="B117" s="106">
        <v>103</v>
      </c>
      <c r="C117" s="119" t="s">
        <v>280</v>
      </c>
      <c r="D117" s="108" t="s">
        <v>284</v>
      </c>
      <c r="E117" s="109" t="s">
        <v>285</v>
      </c>
      <c r="F117" s="110">
        <v>178904.31</v>
      </c>
      <c r="G117" s="111">
        <v>44712</v>
      </c>
      <c r="H117" s="111">
        <v>44712</v>
      </c>
      <c r="I117" s="111">
        <v>45077</v>
      </c>
      <c r="J117" s="113" t="s">
        <v>30</v>
      </c>
      <c r="K117" s="114" t="s">
        <v>286</v>
      </c>
      <c r="L117" s="115" t="s">
        <v>28</v>
      </c>
      <c r="M117" s="107" t="s">
        <v>33</v>
      </c>
    </row>
    <row r="118" spans="1:13" s="116" customFormat="1" ht="107.25" customHeight="1">
      <c r="A118" s="105" t="str">
        <f t="shared" si="1"/>
        <v>22EB0002PERFORMANCE BOND</v>
      </c>
      <c r="B118" s="106">
        <v>105</v>
      </c>
      <c r="C118" s="119" t="s">
        <v>58</v>
      </c>
      <c r="D118" s="108" t="s">
        <v>287</v>
      </c>
      <c r="E118" s="109" t="s">
        <v>288</v>
      </c>
      <c r="F118" s="110">
        <v>2151383.87</v>
      </c>
      <c r="G118" s="111">
        <v>44698</v>
      </c>
      <c r="H118" s="111">
        <v>44698</v>
      </c>
      <c r="I118" s="111">
        <v>45429</v>
      </c>
      <c r="J118" s="113" t="s">
        <v>27</v>
      </c>
      <c r="K118" s="114" t="s">
        <v>289</v>
      </c>
      <c r="L118" s="115" t="s">
        <v>28</v>
      </c>
      <c r="M118" s="107" t="s">
        <v>40</v>
      </c>
    </row>
    <row r="119" spans="1:13" s="116" customFormat="1" ht="109.5" customHeight="1">
      <c r="A119" s="105" t="str">
        <f t="shared" si="1"/>
        <v>22EB0002CONTRACTOR'S ALL RISK POLICY</v>
      </c>
      <c r="B119" s="106">
        <v>105</v>
      </c>
      <c r="C119" s="119" t="s">
        <v>58</v>
      </c>
      <c r="D119" s="108" t="s">
        <v>287</v>
      </c>
      <c r="E119" s="109" t="s">
        <v>288</v>
      </c>
      <c r="F119" s="110">
        <v>7171279.5599999996</v>
      </c>
      <c r="G119" s="111">
        <v>44698</v>
      </c>
      <c r="H119" s="111">
        <v>44698</v>
      </c>
      <c r="I119" s="111">
        <v>45063</v>
      </c>
      <c r="J119" s="113" t="s">
        <v>30</v>
      </c>
      <c r="K119" s="114" t="s">
        <v>290</v>
      </c>
      <c r="L119" s="115" t="s">
        <v>28</v>
      </c>
      <c r="M119" s="107" t="s">
        <v>31</v>
      </c>
    </row>
    <row r="120" spans="1:13" s="116" customFormat="1" ht="109.5" customHeight="1">
      <c r="A120" s="105" t="str">
        <f t="shared" si="1"/>
        <v>22EB0002ADVANCE PAYMENT BOND</v>
      </c>
      <c r="B120" s="106">
        <v>105</v>
      </c>
      <c r="C120" s="119" t="s">
        <v>58</v>
      </c>
      <c r="D120" s="108" t="s">
        <v>287</v>
      </c>
      <c r="E120" s="109" t="s">
        <v>288</v>
      </c>
      <c r="F120" s="110">
        <v>1075691.93</v>
      </c>
      <c r="G120" s="111">
        <v>44715</v>
      </c>
      <c r="H120" s="111">
        <v>44715</v>
      </c>
      <c r="I120" s="111">
        <v>45080</v>
      </c>
      <c r="J120" s="113" t="s">
        <v>30</v>
      </c>
      <c r="K120" s="114" t="s">
        <v>291</v>
      </c>
      <c r="L120" s="115" t="s">
        <v>28</v>
      </c>
      <c r="M120" s="107" t="s">
        <v>34</v>
      </c>
    </row>
    <row r="121" spans="1:13" s="116" customFormat="1" ht="109.5" customHeight="1">
      <c r="A121" s="105" t="str">
        <f t="shared" si="1"/>
        <v>22EB0028PERFORMANCE BOND</v>
      </c>
      <c r="B121" s="106">
        <v>108</v>
      </c>
      <c r="C121" s="119" t="s">
        <v>67</v>
      </c>
      <c r="D121" s="108" t="s">
        <v>292</v>
      </c>
      <c r="E121" s="109" t="s">
        <v>293</v>
      </c>
      <c r="F121" s="110">
        <v>8948916.9299999997</v>
      </c>
      <c r="G121" s="111">
        <v>44698</v>
      </c>
      <c r="H121" s="111">
        <v>44698</v>
      </c>
      <c r="I121" s="111">
        <v>45429</v>
      </c>
      <c r="J121" s="113" t="s">
        <v>27</v>
      </c>
      <c r="K121" s="114" t="s">
        <v>294</v>
      </c>
      <c r="L121" s="115" t="s">
        <v>28</v>
      </c>
      <c r="M121" s="107" t="s">
        <v>40</v>
      </c>
    </row>
    <row r="122" spans="1:13" s="116" customFormat="1" ht="109.5" customHeight="1">
      <c r="A122" s="105" t="str">
        <f t="shared" si="1"/>
        <v>22EB0028CONTRACTOR'S ALL RISK POLICY</v>
      </c>
      <c r="B122" s="106">
        <v>108</v>
      </c>
      <c r="C122" s="119" t="s">
        <v>67</v>
      </c>
      <c r="D122" s="108" t="s">
        <v>292</v>
      </c>
      <c r="E122" s="109" t="s">
        <v>293</v>
      </c>
      <c r="F122" s="110">
        <v>29829723.09</v>
      </c>
      <c r="G122" s="111">
        <v>44698</v>
      </c>
      <c r="H122" s="111">
        <v>44698</v>
      </c>
      <c r="I122" s="111">
        <v>45063</v>
      </c>
      <c r="J122" s="113" t="s">
        <v>30</v>
      </c>
      <c r="K122" s="114" t="s">
        <v>295</v>
      </c>
      <c r="L122" s="115" t="s">
        <v>28</v>
      </c>
      <c r="M122" s="107" t="s">
        <v>31</v>
      </c>
    </row>
    <row r="123" spans="1:13" s="116" customFormat="1" ht="109.5" customHeight="1">
      <c r="A123" s="105" t="str">
        <f t="shared" si="1"/>
        <v>22EB0028ADVANCE PAYMENT BOND</v>
      </c>
      <c r="B123" s="106">
        <v>108</v>
      </c>
      <c r="C123" s="119" t="s">
        <v>67</v>
      </c>
      <c r="D123" s="108" t="s">
        <v>292</v>
      </c>
      <c r="E123" s="109" t="s">
        <v>293</v>
      </c>
      <c r="F123" s="110">
        <v>4474458.46</v>
      </c>
      <c r="G123" s="111">
        <v>44715</v>
      </c>
      <c r="H123" s="111">
        <v>44715</v>
      </c>
      <c r="I123" s="111">
        <v>45080</v>
      </c>
      <c r="J123" s="113" t="s">
        <v>30</v>
      </c>
      <c r="K123" s="114" t="s">
        <v>291</v>
      </c>
      <c r="L123" s="115" t="s">
        <v>28</v>
      </c>
      <c r="M123" s="107" t="s">
        <v>34</v>
      </c>
    </row>
    <row r="124" spans="1:13" s="116" customFormat="1" ht="96" customHeight="1">
      <c r="A124" s="105" t="str">
        <f t="shared" si="1"/>
        <v>21EB0033RETENTION BOND</v>
      </c>
      <c r="B124" s="106">
        <v>111</v>
      </c>
      <c r="C124" s="119" t="s">
        <v>67</v>
      </c>
      <c r="D124" s="108" t="s">
        <v>296</v>
      </c>
      <c r="E124" s="109" t="s">
        <v>297</v>
      </c>
      <c r="F124" s="110">
        <v>1205281.79</v>
      </c>
      <c r="G124" s="111">
        <v>44711</v>
      </c>
      <c r="H124" s="111">
        <v>44711</v>
      </c>
      <c r="I124" s="111">
        <v>45076</v>
      </c>
      <c r="J124" s="113" t="s">
        <v>30</v>
      </c>
      <c r="K124" s="114" t="s">
        <v>298</v>
      </c>
      <c r="L124" s="115" t="s">
        <v>28</v>
      </c>
      <c r="M124" s="107" t="s">
        <v>33</v>
      </c>
    </row>
    <row r="125" spans="1:13" s="116" customFormat="1" ht="96" customHeight="1">
      <c r="A125" s="105" t="str">
        <f t="shared" si="1"/>
        <v>21EB0074RETENTION BOND</v>
      </c>
      <c r="B125" s="106">
        <v>111</v>
      </c>
      <c r="C125" s="119" t="s">
        <v>67</v>
      </c>
      <c r="D125" s="108" t="s">
        <v>299</v>
      </c>
      <c r="E125" s="109" t="s">
        <v>300</v>
      </c>
      <c r="F125" s="110">
        <v>542272.14</v>
      </c>
      <c r="G125" s="111">
        <v>44711</v>
      </c>
      <c r="H125" s="111">
        <v>44711</v>
      </c>
      <c r="I125" s="111">
        <v>45076</v>
      </c>
      <c r="J125" s="113" t="s">
        <v>30</v>
      </c>
      <c r="K125" s="114" t="s">
        <v>301</v>
      </c>
      <c r="L125" s="115" t="s">
        <v>28</v>
      </c>
      <c r="M125" s="107" t="s">
        <v>33</v>
      </c>
    </row>
    <row r="126" spans="1:13" s="116" customFormat="1" ht="96" customHeight="1">
      <c r="A126" s="105" t="str">
        <f t="shared" si="1"/>
        <v>21EB0125RETENTION BOND</v>
      </c>
      <c r="B126" s="106">
        <v>113</v>
      </c>
      <c r="C126" s="119" t="s">
        <v>280</v>
      </c>
      <c r="D126" s="108" t="s">
        <v>302</v>
      </c>
      <c r="E126" s="109" t="s">
        <v>303</v>
      </c>
      <c r="F126" s="110">
        <v>88235.88</v>
      </c>
      <c r="G126" s="111">
        <v>44712</v>
      </c>
      <c r="H126" s="111">
        <v>44712</v>
      </c>
      <c r="I126" s="111">
        <v>45077</v>
      </c>
      <c r="J126" s="113" t="s">
        <v>30</v>
      </c>
      <c r="K126" s="114" t="s">
        <v>304</v>
      </c>
      <c r="L126" s="115" t="s">
        <v>28</v>
      </c>
      <c r="M126" s="107" t="s">
        <v>33</v>
      </c>
    </row>
    <row r="127" spans="1:13" s="116" customFormat="1" ht="109.5" customHeight="1">
      <c r="A127" s="105" t="str">
        <f t="shared" si="1"/>
        <v>21EB0162RETENTION BOND</v>
      </c>
      <c r="B127" s="106">
        <v>114</v>
      </c>
      <c r="C127" s="119" t="s">
        <v>42</v>
      </c>
      <c r="D127" s="108" t="s">
        <v>305</v>
      </c>
      <c r="E127" s="109" t="s">
        <v>306</v>
      </c>
      <c r="F127" s="110">
        <v>1090622.3999999999</v>
      </c>
      <c r="G127" s="111">
        <v>44718</v>
      </c>
      <c r="H127" s="111">
        <v>44718</v>
      </c>
      <c r="I127" s="111">
        <v>45083</v>
      </c>
      <c r="J127" s="113" t="s">
        <v>30</v>
      </c>
      <c r="K127" s="114" t="s">
        <v>307</v>
      </c>
      <c r="L127" s="115" t="s">
        <v>35</v>
      </c>
      <c r="M127" s="107" t="s">
        <v>33</v>
      </c>
    </row>
    <row r="128" spans="1:13" s="116" customFormat="1" ht="109.5" customHeight="1">
      <c r="A128" s="105" t="str">
        <f t="shared" si="1"/>
        <v>22EB0016RETENTION BOND</v>
      </c>
      <c r="B128" s="106">
        <v>115</v>
      </c>
      <c r="C128" s="119" t="s">
        <v>58</v>
      </c>
      <c r="D128" s="108" t="s">
        <v>308</v>
      </c>
      <c r="E128" s="109" t="s">
        <v>309</v>
      </c>
      <c r="F128" s="110">
        <v>196093</v>
      </c>
      <c r="G128" s="111">
        <v>44718</v>
      </c>
      <c r="H128" s="111">
        <v>44718</v>
      </c>
      <c r="I128" s="111">
        <v>45083</v>
      </c>
      <c r="J128" s="113" t="s">
        <v>30</v>
      </c>
      <c r="K128" s="114" t="s">
        <v>310</v>
      </c>
      <c r="L128" s="115" t="s">
        <v>35</v>
      </c>
      <c r="M128" s="107" t="s">
        <v>33</v>
      </c>
    </row>
    <row r="129" spans="1:13" s="116" customFormat="1" ht="82.5" customHeight="1">
      <c r="A129" s="105" t="str">
        <f t="shared" si="1"/>
        <v>22EB0104ADVANCE PAYMENT BOND</v>
      </c>
      <c r="B129" s="106">
        <v>116</v>
      </c>
      <c r="C129" s="119" t="s">
        <v>311</v>
      </c>
      <c r="D129" s="108" t="s">
        <v>312</v>
      </c>
      <c r="E129" s="109" t="s">
        <v>313</v>
      </c>
      <c r="F129" s="110">
        <v>1782010.54</v>
      </c>
      <c r="G129" s="111">
        <v>44719</v>
      </c>
      <c r="H129" s="111">
        <v>44719</v>
      </c>
      <c r="I129" s="111">
        <v>45084</v>
      </c>
      <c r="J129" s="113" t="s">
        <v>30</v>
      </c>
      <c r="K129" s="114" t="s">
        <v>291</v>
      </c>
      <c r="L129" s="115" t="s">
        <v>28</v>
      </c>
      <c r="M129" s="107" t="s">
        <v>34</v>
      </c>
    </row>
    <row r="130" spans="1:13" s="116" customFormat="1" ht="82.5" customHeight="1">
      <c r="A130" s="105" t="str">
        <f t="shared" si="1"/>
        <v>22EB0104PERFORMANCE BOND</v>
      </c>
      <c r="B130" s="106">
        <v>116</v>
      </c>
      <c r="C130" s="119" t="s">
        <v>311</v>
      </c>
      <c r="D130" s="108" t="s">
        <v>312</v>
      </c>
      <c r="E130" s="109" t="s">
        <v>313</v>
      </c>
      <c r="F130" s="110">
        <v>3564021.08</v>
      </c>
      <c r="G130" s="111">
        <v>44701</v>
      </c>
      <c r="H130" s="111">
        <v>44701</v>
      </c>
      <c r="I130" s="111">
        <v>45432</v>
      </c>
      <c r="J130" s="113" t="s">
        <v>27</v>
      </c>
      <c r="K130" s="114" t="s">
        <v>314</v>
      </c>
      <c r="L130" s="115" t="s">
        <v>28</v>
      </c>
      <c r="M130" s="107" t="s">
        <v>40</v>
      </c>
    </row>
    <row r="131" spans="1:13" s="116" customFormat="1" ht="82.5" customHeight="1">
      <c r="A131" s="105" t="str">
        <f t="shared" si="1"/>
        <v>22EB0104CONTRACTOR'S ALL RISK POLICY</v>
      </c>
      <c r="B131" s="106">
        <v>116</v>
      </c>
      <c r="C131" s="119" t="s">
        <v>311</v>
      </c>
      <c r="D131" s="108" t="s">
        <v>312</v>
      </c>
      <c r="E131" s="109" t="s">
        <v>313</v>
      </c>
      <c r="F131" s="110">
        <v>11880070.26</v>
      </c>
      <c r="G131" s="111">
        <v>44701</v>
      </c>
      <c r="H131" s="111">
        <v>44701</v>
      </c>
      <c r="I131" s="111">
        <v>45066</v>
      </c>
      <c r="J131" s="113" t="s">
        <v>30</v>
      </c>
      <c r="K131" s="114" t="s">
        <v>315</v>
      </c>
      <c r="L131" s="115" t="s">
        <v>28</v>
      </c>
      <c r="M131" s="107" t="s">
        <v>31</v>
      </c>
    </row>
    <row r="132" spans="1:13" s="116" customFormat="1" ht="82.5" customHeight="1">
      <c r="A132" s="105" t="str">
        <f t="shared" si="1"/>
        <v>21EB0131RETENTION BOND</v>
      </c>
      <c r="B132" s="106">
        <v>119</v>
      </c>
      <c r="C132" s="119" t="s">
        <v>280</v>
      </c>
      <c r="D132" s="108" t="s">
        <v>316</v>
      </c>
      <c r="E132" s="109" t="s">
        <v>317</v>
      </c>
      <c r="F132" s="110">
        <v>190490.64</v>
      </c>
      <c r="G132" s="111">
        <v>44712</v>
      </c>
      <c r="H132" s="111">
        <v>44712</v>
      </c>
      <c r="I132" s="111">
        <v>45077</v>
      </c>
      <c r="J132" s="113" t="s">
        <v>30</v>
      </c>
      <c r="K132" s="114" t="s">
        <v>318</v>
      </c>
      <c r="L132" s="115" t="s">
        <v>28</v>
      </c>
      <c r="M132" s="107" t="s">
        <v>33</v>
      </c>
    </row>
    <row r="133" spans="1:13" s="116" customFormat="1" ht="82.5" customHeight="1">
      <c r="A133" s="105" t="str">
        <f t="shared" si="1"/>
        <v>22EB0017RETENTION BOND</v>
      </c>
      <c r="B133" s="106">
        <v>120</v>
      </c>
      <c r="C133" s="119" t="s">
        <v>58</v>
      </c>
      <c r="D133" s="108" t="s">
        <v>319</v>
      </c>
      <c r="E133" s="109" t="s">
        <v>320</v>
      </c>
      <c r="F133" s="110">
        <v>406863.5</v>
      </c>
      <c r="G133" s="111">
        <v>44718</v>
      </c>
      <c r="H133" s="111">
        <v>44718</v>
      </c>
      <c r="I133" s="111">
        <v>45083</v>
      </c>
      <c r="J133" s="113" t="s">
        <v>30</v>
      </c>
      <c r="K133" s="114" t="s">
        <v>321</v>
      </c>
      <c r="L133" s="115" t="s">
        <v>35</v>
      </c>
      <c r="M133" s="107" t="s">
        <v>33</v>
      </c>
    </row>
    <row r="134" spans="1:13" s="116" customFormat="1" ht="82.5" customHeight="1">
      <c r="A134" s="105" t="str">
        <f t="shared" si="1"/>
        <v>22EB0096ADVANCE PAYMENT BOND</v>
      </c>
      <c r="B134" s="106">
        <v>121</v>
      </c>
      <c r="C134" s="119" t="s">
        <v>73</v>
      </c>
      <c r="D134" s="108" t="s">
        <v>322</v>
      </c>
      <c r="E134" s="109" t="s">
        <v>323</v>
      </c>
      <c r="F134" s="110">
        <v>6915114.7800000003</v>
      </c>
      <c r="G134" s="111">
        <v>44718</v>
      </c>
      <c r="H134" s="111">
        <v>44718</v>
      </c>
      <c r="I134" s="111">
        <v>45083</v>
      </c>
      <c r="J134" s="113" t="s">
        <v>30</v>
      </c>
      <c r="K134" s="114" t="s">
        <v>324</v>
      </c>
      <c r="L134" s="115" t="s">
        <v>28</v>
      </c>
      <c r="M134" s="107" t="s">
        <v>34</v>
      </c>
    </row>
    <row r="135" spans="1:13" s="116" customFormat="1" ht="82.5" customHeight="1">
      <c r="A135" s="105" t="str">
        <f t="shared" si="1"/>
        <v>22EB0096CONTRACTOR'S ALL RISK POLICY</v>
      </c>
      <c r="B135" s="106">
        <v>121</v>
      </c>
      <c r="C135" s="119" t="s">
        <v>73</v>
      </c>
      <c r="D135" s="108" t="s">
        <v>322</v>
      </c>
      <c r="E135" s="109" t="s">
        <v>323</v>
      </c>
      <c r="F135" s="110">
        <v>46100765.219999999</v>
      </c>
      <c r="G135" s="111">
        <v>44700</v>
      </c>
      <c r="H135" s="111">
        <v>44700</v>
      </c>
      <c r="I135" s="111">
        <v>45065</v>
      </c>
      <c r="J135" s="113" t="s">
        <v>30</v>
      </c>
      <c r="K135" s="114" t="s">
        <v>325</v>
      </c>
      <c r="L135" s="115" t="s">
        <v>28</v>
      </c>
      <c r="M135" s="107" t="s">
        <v>31</v>
      </c>
    </row>
    <row r="136" spans="1:13" s="116" customFormat="1" ht="82.5" customHeight="1">
      <c r="A136" s="105" t="str">
        <f t="shared" si="1"/>
        <v>22EB0018RETENTION BOND</v>
      </c>
      <c r="B136" s="106">
        <v>121</v>
      </c>
      <c r="C136" s="119" t="s">
        <v>58</v>
      </c>
      <c r="D136" s="108" t="s">
        <v>326</v>
      </c>
      <c r="E136" s="109" t="s">
        <v>327</v>
      </c>
      <c r="F136" s="110">
        <v>248481.6</v>
      </c>
      <c r="G136" s="111">
        <v>44721</v>
      </c>
      <c r="H136" s="111">
        <v>44721</v>
      </c>
      <c r="I136" s="111">
        <v>45086</v>
      </c>
      <c r="J136" s="113" t="s">
        <v>30</v>
      </c>
      <c r="K136" s="114" t="s">
        <v>328</v>
      </c>
      <c r="L136" s="115" t="s">
        <v>35</v>
      </c>
      <c r="M136" s="107" t="s">
        <v>33</v>
      </c>
    </row>
    <row r="137" spans="1:13" s="116" customFormat="1" ht="82.5" customHeight="1">
      <c r="A137" s="105" t="str">
        <f t="shared" si="1"/>
        <v>22EB0096PERFORMANCE BOND</v>
      </c>
      <c r="B137" s="106">
        <v>121</v>
      </c>
      <c r="C137" s="119" t="s">
        <v>73</v>
      </c>
      <c r="D137" s="108" t="s">
        <v>322</v>
      </c>
      <c r="E137" s="109" t="s">
        <v>323</v>
      </c>
      <c r="F137" s="110">
        <v>13830229.57</v>
      </c>
      <c r="G137" s="111">
        <v>44700</v>
      </c>
      <c r="H137" s="111">
        <v>44700</v>
      </c>
      <c r="I137" s="111">
        <v>45431</v>
      </c>
      <c r="J137" s="113" t="s">
        <v>27</v>
      </c>
      <c r="K137" s="114" t="s">
        <v>329</v>
      </c>
      <c r="L137" s="115" t="s">
        <v>28</v>
      </c>
      <c r="M137" s="107" t="s">
        <v>40</v>
      </c>
    </row>
    <row r="138" spans="1:13" s="116" customFormat="1" ht="82.5" customHeight="1">
      <c r="A138" s="105" t="str">
        <f t="shared" si="1"/>
        <v>22EB0094-R1PERFORMANCE BOND</v>
      </c>
      <c r="B138" s="106">
        <v>121</v>
      </c>
      <c r="C138" s="119" t="s">
        <v>44</v>
      </c>
      <c r="D138" s="108" t="s">
        <v>330</v>
      </c>
      <c r="E138" s="109" t="s">
        <v>331</v>
      </c>
      <c r="F138" s="110">
        <v>1102823.3799999999</v>
      </c>
      <c r="G138" s="111">
        <v>44694</v>
      </c>
      <c r="H138" s="111">
        <v>44694</v>
      </c>
      <c r="I138" s="111">
        <v>45425</v>
      </c>
      <c r="J138" s="113" t="s">
        <v>27</v>
      </c>
      <c r="K138" s="114" t="s">
        <v>332</v>
      </c>
      <c r="L138" s="115" t="s">
        <v>69</v>
      </c>
      <c r="M138" s="107" t="s">
        <v>40</v>
      </c>
    </row>
    <row r="139" spans="1:13" s="116" customFormat="1" ht="82.5" customHeight="1">
      <c r="A139" s="105" t="str">
        <f t="shared" si="1"/>
        <v>22EB0094-R1CONTRACTOR'S ALL RISK POLICY</v>
      </c>
      <c r="B139" s="106">
        <v>121</v>
      </c>
      <c r="C139" s="119" t="s">
        <v>44</v>
      </c>
      <c r="D139" s="108" t="s">
        <v>330</v>
      </c>
      <c r="E139" s="109" t="s">
        <v>331</v>
      </c>
      <c r="F139" s="110">
        <v>3676077.93</v>
      </c>
      <c r="G139" s="111">
        <v>44694</v>
      </c>
      <c r="H139" s="111">
        <v>44694</v>
      </c>
      <c r="I139" s="111">
        <v>45059</v>
      </c>
      <c r="J139" s="113" t="s">
        <v>30</v>
      </c>
      <c r="K139" s="114" t="s">
        <v>333</v>
      </c>
      <c r="L139" s="115" t="s">
        <v>69</v>
      </c>
      <c r="M139" s="107" t="s">
        <v>31</v>
      </c>
    </row>
    <row r="140" spans="1:13" s="116" customFormat="1" ht="86.25" customHeight="1">
      <c r="A140" s="105" t="str">
        <f t="shared" si="1"/>
        <v>22EB0103PERFORMANCE BOND</v>
      </c>
      <c r="B140" s="106">
        <v>121</v>
      </c>
      <c r="C140" s="119" t="s">
        <v>44</v>
      </c>
      <c r="D140" s="108" t="s">
        <v>334</v>
      </c>
      <c r="E140" s="109" t="s">
        <v>335</v>
      </c>
      <c r="F140" s="110">
        <v>1195193.76</v>
      </c>
      <c r="G140" s="111">
        <v>44683</v>
      </c>
      <c r="H140" s="111">
        <v>44683</v>
      </c>
      <c r="I140" s="111">
        <v>45414</v>
      </c>
      <c r="J140" s="113" t="s">
        <v>27</v>
      </c>
      <c r="K140" s="114" t="s">
        <v>336</v>
      </c>
      <c r="L140" s="115" t="s">
        <v>69</v>
      </c>
      <c r="M140" s="107" t="s">
        <v>40</v>
      </c>
    </row>
    <row r="141" spans="1:13" s="116" customFormat="1" ht="86.25" customHeight="1">
      <c r="A141" s="105" t="str">
        <f t="shared" si="1"/>
        <v>22EB0103CONTRACTOR'S ALL RISK POLICY</v>
      </c>
      <c r="B141" s="106">
        <v>121</v>
      </c>
      <c r="C141" s="119" t="s">
        <v>44</v>
      </c>
      <c r="D141" s="108" t="s">
        <v>334</v>
      </c>
      <c r="E141" s="109" t="s">
        <v>335</v>
      </c>
      <c r="F141" s="110">
        <v>3983979.2</v>
      </c>
      <c r="G141" s="111">
        <v>44683</v>
      </c>
      <c r="H141" s="111">
        <v>44683</v>
      </c>
      <c r="I141" s="111">
        <v>45048</v>
      </c>
      <c r="J141" s="113" t="s">
        <v>30</v>
      </c>
      <c r="K141" s="114" t="s">
        <v>337</v>
      </c>
      <c r="L141" s="115" t="s">
        <v>69</v>
      </c>
      <c r="M141" s="107" t="s">
        <v>31</v>
      </c>
    </row>
    <row r="142" spans="1:13" s="116" customFormat="1" ht="86.25" customHeight="1">
      <c r="A142" s="105" t="str">
        <f t="shared" ref="A142:A205" si="2">D142&amp;M142</f>
        <v>22EB0102PERFORMANCE BOND</v>
      </c>
      <c r="B142" s="106">
        <v>121</v>
      </c>
      <c r="C142" s="119" t="s">
        <v>44</v>
      </c>
      <c r="D142" s="108" t="s">
        <v>338</v>
      </c>
      <c r="E142" s="109" t="s">
        <v>339</v>
      </c>
      <c r="F142" s="110">
        <v>235418.86</v>
      </c>
      <c r="G142" s="111">
        <v>44683</v>
      </c>
      <c r="H142" s="111">
        <v>44683</v>
      </c>
      <c r="I142" s="111">
        <v>45414</v>
      </c>
      <c r="J142" s="113" t="s">
        <v>27</v>
      </c>
      <c r="K142" s="114" t="s">
        <v>340</v>
      </c>
      <c r="L142" s="115" t="s">
        <v>69</v>
      </c>
      <c r="M142" s="107" t="s">
        <v>40</v>
      </c>
    </row>
    <row r="143" spans="1:13" s="116" customFormat="1" ht="82.5" customHeight="1">
      <c r="A143" s="105" t="str">
        <f t="shared" si="2"/>
        <v>22EB0105PERFORMANCE BOND</v>
      </c>
      <c r="B143" s="106">
        <v>130</v>
      </c>
      <c r="C143" s="119" t="s">
        <v>68</v>
      </c>
      <c r="D143" s="108" t="s">
        <v>341</v>
      </c>
      <c r="E143" s="109" t="s">
        <v>342</v>
      </c>
      <c r="F143" s="110">
        <v>5846191.79</v>
      </c>
      <c r="G143" s="111">
        <v>44706</v>
      </c>
      <c r="H143" s="111">
        <v>44706</v>
      </c>
      <c r="I143" s="111">
        <v>45437</v>
      </c>
      <c r="J143" s="113" t="s">
        <v>27</v>
      </c>
      <c r="K143" s="114" t="s">
        <v>343</v>
      </c>
      <c r="L143" s="115" t="s">
        <v>69</v>
      </c>
      <c r="M143" s="107" t="s">
        <v>40</v>
      </c>
    </row>
    <row r="144" spans="1:13" s="116" customFormat="1" ht="82.5" customHeight="1">
      <c r="A144" s="105" t="str">
        <f t="shared" si="2"/>
        <v>22EB0105CONTRACTOR'S ALL RISK POLICY</v>
      </c>
      <c r="B144" s="106">
        <v>130</v>
      </c>
      <c r="C144" s="119" t="s">
        <v>68</v>
      </c>
      <c r="D144" s="108" t="s">
        <v>341</v>
      </c>
      <c r="E144" s="109" t="s">
        <v>342</v>
      </c>
      <c r="F144" s="110">
        <v>19487305.949999999</v>
      </c>
      <c r="G144" s="111">
        <v>44706</v>
      </c>
      <c r="H144" s="111">
        <v>44706</v>
      </c>
      <c r="I144" s="111">
        <v>45071</v>
      </c>
      <c r="J144" s="113" t="s">
        <v>27</v>
      </c>
      <c r="K144" s="114" t="s">
        <v>344</v>
      </c>
      <c r="L144" s="115" t="s">
        <v>69</v>
      </c>
      <c r="M144" s="107" t="s">
        <v>31</v>
      </c>
    </row>
    <row r="145" spans="1:13" s="116" customFormat="1" ht="82.5" customHeight="1">
      <c r="A145" s="105" t="str">
        <f t="shared" si="2"/>
        <v>22EB0094-R1ADVANCE PAYMENT BOND</v>
      </c>
      <c r="B145" s="106">
        <v>121</v>
      </c>
      <c r="C145" s="119" t="s">
        <v>44</v>
      </c>
      <c r="D145" s="108" t="s">
        <v>330</v>
      </c>
      <c r="E145" s="109" t="s">
        <v>331</v>
      </c>
      <c r="F145" s="110">
        <v>551411.68999999994</v>
      </c>
      <c r="G145" s="111">
        <v>44712</v>
      </c>
      <c r="H145" s="111">
        <v>44712</v>
      </c>
      <c r="I145" s="111">
        <v>44712</v>
      </c>
      <c r="J145" s="113" t="s">
        <v>30</v>
      </c>
      <c r="K145" s="114" t="s">
        <v>345</v>
      </c>
      <c r="L145" s="115" t="s">
        <v>69</v>
      </c>
      <c r="M145" s="107" t="s">
        <v>34</v>
      </c>
    </row>
    <row r="146" spans="1:13" s="116" customFormat="1" ht="126" customHeight="1">
      <c r="A146" s="105" t="str">
        <f t="shared" si="2"/>
        <v>22EB0022RETENTION BOND</v>
      </c>
      <c r="B146" s="106">
        <v>133</v>
      </c>
      <c r="C146" s="119" t="s">
        <v>38</v>
      </c>
      <c r="D146" s="108" t="s">
        <v>346</v>
      </c>
      <c r="E146" s="109" t="s">
        <v>347</v>
      </c>
      <c r="F146" s="110">
        <v>600063.46</v>
      </c>
      <c r="G146" s="111">
        <v>44718</v>
      </c>
      <c r="H146" s="111">
        <v>44718</v>
      </c>
      <c r="I146" s="111">
        <v>45083</v>
      </c>
      <c r="J146" s="113" t="s">
        <v>30</v>
      </c>
      <c r="K146" s="114" t="s">
        <v>348</v>
      </c>
      <c r="L146" s="115" t="s">
        <v>69</v>
      </c>
      <c r="M146" s="107" t="s">
        <v>33</v>
      </c>
    </row>
    <row r="147" spans="1:13" s="116" customFormat="1" ht="82.5" customHeight="1">
      <c r="A147" s="105" t="str">
        <f t="shared" si="2"/>
        <v>22EB0105ADVANCE PAYMENT BOND</v>
      </c>
      <c r="B147" s="106">
        <v>130</v>
      </c>
      <c r="C147" s="119" t="s">
        <v>68</v>
      </c>
      <c r="D147" s="108" t="s">
        <v>341</v>
      </c>
      <c r="E147" s="109" t="s">
        <v>342</v>
      </c>
      <c r="F147" s="110">
        <v>2923095.89</v>
      </c>
      <c r="G147" s="111">
        <v>44721</v>
      </c>
      <c r="H147" s="111">
        <v>44721</v>
      </c>
      <c r="I147" s="111">
        <v>45086</v>
      </c>
      <c r="J147" s="113" t="s">
        <v>30</v>
      </c>
      <c r="K147" s="114" t="s">
        <v>349</v>
      </c>
      <c r="L147" s="115" t="s">
        <v>69</v>
      </c>
      <c r="M147" s="107" t="s">
        <v>34</v>
      </c>
    </row>
    <row r="148" spans="1:13" s="116" customFormat="1" ht="126" customHeight="1">
      <c r="A148" s="105" t="str">
        <f t="shared" si="2"/>
        <v>22EB0030PERFORMANCE BOND</v>
      </c>
      <c r="B148" s="106">
        <v>135</v>
      </c>
      <c r="C148" s="119" t="s">
        <v>350</v>
      </c>
      <c r="D148" s="108" t="s">
        <v>351</v>
      </c>
      <c r="E148" s="109" t="s">
        <v>352</v>
      </c>
      <c r="F148" s="110">
        <v>11393634.4</v>
      </c>
      <c r="G148" s="111">
        <v>44700</v>
      </c>
      <c r="H148" s="111">
        <v>44700</v>
      </c>
      <c r="I148" s="111">
        <v>45431</v>
      </c>
      <c r="J148" s="113" t="s">
        <v>30</v>
      </c>
      <c r="K148" s="114" t="s">
        <v>353</v>
      </c>
      <c r="L148" s="115" t="s">
        <v>28</v>
      </c>
      <c r="M148" s="107" t="s">
        <v>40</v>
      </c>
    </row>
    <row r="149" spans="1:13" s="116" customFormat="1" ht="126" customHeight="1">
      <c r="A149" s="105" t="str">
        <f t="shared" si="2"/>
        <v>22EB0031ADVANCE PAYMENT BOND</v>
      </c>
      <c r="B149" s="106">
        <v>136</v>
      </c>
      <c r="C149" s="119" t="s">
        <v>354</v>
      </c>
      <c r="D149" s="108" t="s">
        <v>355</v>
      </c>
      <c r="E149" s="109" t="s">
        <v>356</v>
      </c>
      <c r="F149" s="110">
        <v>4696640.51</v>
      </c>
      <c r="G149" s="111">
        <v>44718</v>
      </c>
      <c r="H149" s="111">
        <v>44718</v>
      </c>
      <c r="I149" s="111">
        <v>45083</v>
      </c>
      <c r="J149" s="113" t="s">
        <v>30</v>
      </c>
      <c r="K149" s="114" t="s">
        <v>345</v>
      </c>
      <c r="L149" s="115" t="s">
        <v>28</v>
      </c>
      <c r="M149" s="107" t="s">
        <v>34</v>
      </c>
    </row>
    <row r="150" spans="1:13" s="116" customFormat="1" ht="126" customHeight="1">
      <c r="A150" s="105" t="str">
        <f t="shared" si="2"/>
        <v>22EB0031PERFORMANCE BOND</v>
      </c>
      <c r="B150" s="106">
        <v>136</v>
      </c>
      <c r="C150" s="119" t="s">
        <v>354</v>
      </c>
      <c r="D150" s="108" t="s">
        <v>355</v>
      </c>
      <c r="E150" s="109" t="s">
        <v>356</v>
      </c>
      <c r="F150" s="110">
        <v>9393281.0099999998</v>
      </c>
      <c r="G150" s="111">
        <v>44700</v>
      </c>
      <c r="H150" s="111">
        <v>44700</v>
      </c>
      <c r="I150" s="111">
        <v>45431</v>
      </c>
      <c r="J150" s="113" t="s">
        <v>27</v>
      </c>
      <c r="K150" s="114" t="s">
        <v>357</v>
      </c>
      <c r="L150" s="115" t="s">
        <v>28</v>
      </c>
      <c r="M150" s="107" t="s">
        <v>40</v>
      </c>
    </row>
    <row r="151" spans="1:13" s="116" customFormat="1" ht="126" customHeight="1">
      <c r="A151" s="105" t="str">
        <f t="shared" si="2"/>
        <v>22EB0030CONTRACTOR'S ALL RISK POLICY</v>
      </c>
      <c r="B151" s="106">
        <v>135</v>
      </c>
      <c r="C151" s="119" t="s">
        <v>350</v>
      </c>
      <c r="D151" s="108" t="s">
        <v>351</v>
      </c>
      <c r="E151" s="109" t="s">
        <v>352</v>
      </c>
      <c r="F151" s="110">
        <v>37978781.32</v>
      </c>
      <c r="G151" s="111">
        <v>44700</v>
      </c>
      <c r="H151" s="111">
        <v>44700</v>
      </c>
      <c r="I151" s="111">
        <v>45065</v>
      </c>
      <c r="J151" s="113" t="s">
        <v>30</v>
      </c>
      <c r="K151" s="114" t="s">
        <v>361</v>
      </c>
      <c r="L151" s="115" t="s">
        <v>28</v>
      </c>
      <c r="M151" s="107" t="s">
        <v>31</v>
      </c>
    </row>
    <row r="152" spans="1:13" s="116" customFormat="1" ht="126" customHeight="1">
      <c r="A152" s="105" t="str">
        <f t="shared" si="2"/>
        <v>22EB0019-R1CONTRACTOR'S ALL RISK POLICY</v>
      </c>
      <c r="B152" s="106">
        <v>139</v>
      </c>
      <c r="C152" s="119" t="s">
        <v>358</v>
      </c>
      <c r="D152" s="108" t="s">
        <v>359</v>
      </c>
      <c r="E152" s="109" t="s">
        <v>360</v>
      </c>
      <c r="F152" s="110">
        <v>14515955.83</v>
      </c>
      <c r="G152" s="111">
        <v>44700</v>
      </c>
      <c r="H152" s="111">
        <v>44700</v>
      </c>
      <c r="I152" s="111">
        <v>45065</v>
      </c>
      <c r="J152" s="113" t="s">
        <v>30</v>
      </c>
      <c r="K152" s="114" t="s">
        <v>362</v>
      </c>
      <c r="L152" s="115" t="s">
        <v>28</v>
      </c>
      <c r="M152" s="107" t="s">
        <v>31</v>
      </c>
    </row>
    <row r="153" spans="1:13" s="116" customFormat="1" ht="126" customHeight="1">
      <c r="A153" s="105" t="str">
        <f t="shared" si="2"/>
        <v>22EB0031CONTRACTOR'S ALL RISK POLICY</v>
      </c>
      <c r="B153" s="106">
        <v>136</v>
      </c>
      <c r="C153" s="119" t="s">
        <v>354</v>
      </c>
      <c r="D153" s="108" t="s">
        <v>355</v>
      </c>
      <c r="E153" s="109" t="s">
        <v>356</v>
      </c>
      <c r="F153" s="110">
        <v>31310936.710000001</v>
      </c>
      <c r="G153" s="111">
        <v>44700</v>
      </c>
      <c r="H153" s="111">
        <v>44700</v>
      </c>
      <c r="I153" s="111">
        <v>45065</v>
      </c>
      <c r="J153" s="113" t="s">
        <v>30</v>
      </c>
      <c r="K153" s="114" t="s">
        <v>363</v>
      </c>
      <c r="L153" s="115" t="s">
        <v>28</v>
      </c>
      <c r="M153" s="107" t="s">
        <v>31</v>
      </c>
    </row>
    <row r="154" spans="1:13" s="116" customFormat="1" ht="126" customHeight="1">
      <c r="A154" s="105" t="str">
        <f t="shared" si="2"/>
        <v>21EB0142CONTRACTOR'S ALL RISK POLICY</v>
      </c>
      <c r="B154" s="106">
        <v>141</v>
      </c>
      <c r="C154" s="119" t="s">
        <v>42</v>
      </c>
      <c r="D154" s="108" t="s">
        <v>364</v>
      </c>
      <c r="E154" s="109" t="s">
        <v>144</v>
      </c>
      <c r="F154" s="110">
        <v>3408227.98</v>
      </c>
      <c r="G154" s="111">
        <v>44664</v>
      </c>
      <c r="H154" s="111">
        <v>44664</v>
      </c>
      <c r="I154" s="111">
        <v>45029</v>
      </c>
      <c r="J154" s="113" t="s">
        <v>30</v>
      </c>
      <c r="K154" s="114" t="s">
        <v>365</v>
      </c>
      <c r="L154" s="115" t="s">
        <v>35</v>
      </c>
      <c r="M154" s="107" t="s">
        <v>31</v>
      </c>
    </row>
    <row r="155" spans="1:13" s="116" customFormat="1" ht="126" customHeight="1">
      <c r="A155" s="105" t="str">
        <f t="shared" si="2"/>
        <v>21EB0142PERFORMANCE BOND</v>
      </c>
      <c r="B155" s="106">
        <v>141</v>
      </c>
      <c r="C155" s="119" t="s">
        <v>42</v>
      </c>
      <c r="D155" s="108" t="s">
        <v>364</v>
      </c>
      <c r="E155" s="109" t="s">
        <v>144</v>
      </c>
      <c r="F155" s="110">
        <v>1192879.79</v>
      </c>
      <c r="G155" s="111">
        <v>44664</v>
      </c>
      <c r="H155" s="111">
        <v>44664</v>
      </c>
      <c r="I155" s="111">
        <v>45395</v>
      </c>
      <c r="J155" s="113" t="s">
        <v>27</v>
      </c>
      <c r="K155" s="114" t="s">
        <v>366</v>
      </c>
      <c r="L155" s="115" t="s">
        <v>35</v>
      </c>
      <c r="M155" s="107" t="s">
        <v>40</v>
      </c>
    </row>
    <row r="156" spans="1:13" s="116" customFormat="1" ht="126" customHeight="1">
      <c r="A156" s="105" t="str">
        <f t="shared" si="2"/>
        <v>21EB0137PERFORMANCE BOND</v>
      </c>
      <c r="B156" s="106">
        <v>141</v>
      </c>
      <c r="C156" s="119" t="s">
        <v>42</v>
      </c>
      <c r="D156" s="108" t="s">
        <v>367</v>
      </c>
      <c r="E156" s="109" t="s">
        <v>368</v>
      </c>
      <c r="F156" s="110">
        <v>566034</v>
      </c>
      <c r="G156" s="111">
        <v>44645</v>
      </c>
      <c r="H156" s="111">
        <v>44645</v>
      </c>
      <c r="I156" s="111">
        <v>45376</v>
      </c>
      <c r="J156" s="113" t="s">
        <v>27</v>
      </c>
      <c r="K156" s="114" t="s">
        <v>369</v>
      </c>
      <c r="L156" s="115" t="s">
        <v>35</v>
      </c>
      <c r="M156" s="107" t="s">
        <v>40</v>
      </c>
    </row>
    <row r="157" spans="1:13" s="116" customFormat="1" ht="126" customHeight="1">
      <c r="A157" s="105" t="str">
        <f t="shared" si="2"/>
        <v>21EB0137CONTRACTOR'S ALL RISK POLICY</v>
      </c>
      <c r="B157" s="106">
        <v>141</v>
      </c>
      <c r="C157" s="119" t="s">
        <v>42</v>
      </c>
      <c r="D157" s="108" t="s">
        <v>367</v>
      </c>
      <c r="E157" s="109" t="s">
        <v>368</v>
      </c>
      <c r="F157" s="110">
        <v>1886779.07</v>
      </c>
      <c r="G157" s="111">
        <v>44645</v>
      </c>
      <c r="H157" s="111">
        <v>44645</v>
      </c>
      <c r="I157" s="111">
        <v>45010</v>
      </c>
      <c r="J157" s="113" t="s">
        <v>30</v>
      </c>
      <c r="K157" s="114" t="s">
        <v>370</v>
      </c>
      <c r="L157" s="115" t="s">
        <v>35</v>
      </c>
      <c r="M157" s="107" t="s">
        <v>31</v>
      </c>
    </row>
    <row r="158" spans="1:13" s="116" customFormat="1" ht="131.25" customHeight="1">
      <c r="A158" s="105" t="str">
        <f t="shared" si="2"/>
        <v>20EB0108RETENTION BOND</v>
      </c>
      <c r="B158" s="106">
        <v>145</v>
      </c>
      <c r="C158" s="119" t="s">
        <v>371</v>
      </c>
      <c r="D158" s="108" t="s">
        <v>372</v>
      </c>
      <c r="E158" s="109" t="s">
        <v>373</v>
      </c>
      <c r="F158" s="110">
        <v>4949538.12</v>
      </c>
      <c r="G158" s="111">
        <v>44645</v>
      </c>
      <c r="H158" s="111">
        <v>44645</v>
      </c>
      <c r="I158" s="111">
        <v>45010</v>
      </c>
      <c r="J158" s="113" t="s">
        <v>30</v>
      </c>
      <c r="K158" s="114" t="s">
        <v>374</v>
      </c>
      <c r="L158" s="115" t="s">
        <v>32</v>
      </c>
      <c r="M158" s="107" t="s">
        <v>33</v>
      </c>
    </row>
    <row r="159" spans="1:13" s="116" customFormat="1" ht="126" customHeight="1">
      <c r="A159" s="105" t="str">
        <f t="shared" si="2"/>
        <v>22EB0019-R1PERFORMANCE BOND</v>
      </c>
      <c r="B159" s="106">
        <v>139</v>
      </c>
      <c r="C159" s="119" t="s">
        <v>358</v>
      </c>
      <c r="D159" s="108" t="s">
        <v>359</v>
      </c>
      <c r="E159" s="109" t="s">
        <v>360</v>
      </c>
      <c r="F159" s="110">
        <v>4354786.75</v>
      </c>
      <c r="G159" s="111">
        <v>44700</v>
      </c>
      <c r="H159" s="111">
        <v>44700</v>
      </c>
      <c r="I159" s="111">
        <v>45431</v>
      </c>
      <c r="J159" s="113" t="s">
        <v>27</v>
      </c>
      <c r="K159" s="114" t="s">
        <v>375</v>
      </c>
      <c r="L159" s="115" t="s">
        <v>28</v>
      </c>
      <c r="M159" s="107" t="s">
        <v>40</v>
      </c>
    </row>
    <row r="160" spans="1:13" s="116" customFormat="1" ht="126" customHeight="1">
      <c r="A160" s="105" t="str">
        <f t="shared" si="2"/>
        <v>22EB0019-R1ADVANCE PAYMENT BOND</v>
      </c>
      <c r="B160" s="106">
        <v>139</v>
      </c>
      <c r="C160" s="119" t="s">
        <v>358</v>
      </c>
      <c r="D160" s="108" t="s">
        <v>359</v>
      </c>
      <c r="E160" s="109" t="s">
        <v>360</v>
      </c>
      <c r="F160" s="110">
        <v>2177393.37</v>
      </c>
      <c r="G160" s="111">
        <v>44718</v>
      </c>
      <c r="H160" s="111">
        <v>44718</v>
      </c>
      <c r="I160" s="111">
        <v>45083</v>
      </c>
      <c r="J160" s="113" t="s">
        <v>30</v>
      </c>
      <c r="K160" s="114" t="s">
        <v>376</v>
      </c>
      <c r="L160" s="115" t="s">
        <v>28</v>
      </c>
      <c r="M160" s="107" t="s">
        <v>34</v>
      </c>
    </row>
    <row r="161" spans="1:13" s="116" customFormat="1" ht="109.5" customHeight="1">
      <c r="A161" s="105" t="str">
        <f t="shared" si="2"/>
        <v>18EB0079WARRANTY BOND</v>
      </c>
      <c r="B161" s="106">
        <v>148</v>
      </c>
      <c r="C161" s="119" t="s">
        <v>377</v>
      </c>
      <c r="D161" s="108" t="s">
        <v>378</v>
      </c>
      <c r="E161" s="109" t="s">
        <v>379</v>
      </c>
      <c r="F161" s="110">
        <v>28120969.280000001</v>
      </c>
      <c r="G161" s="111">
        <v>44698</v>
      </c>
      <c r="H161" s="111">
        <v>44698</v>
      </c>
      <c r="I161" s="111">
        <v>45063</v>
      </c>
      <c r="J161" s="113" t="s">
        <v>30</v>
      </c>
      <c r="K161" s="114" t="s">
        <v>380</v>
      </c>
      <c r="L161" s="115" t="s">
        <v>39</v>
      </c>
      <c r="M161" s="107" t="s">
        <v>37</v>
      </c>
    </row>
    <row r="162" spans="1:13" s="116" customFormat="1" ht="82.5" customHeight="1">
      <c r="A162" s="105" t="str">
        <f t="shared" si="2"/>
        <v>21EB0058RETENTION BOND</v>
      </c>
      <c r="B162" s="106">
        <v>149</v>
      </c>
      <c r="C162" s="119" t="s">
        <v>381</v>
      </c>
      <c r="D162" s="108" t="s">
        <v>382</v>
      </c>
      <c r="E162" s="109" t="s">
        <v>383</v>
      </c>
      <c r="F162" s="110">
        <v>4293009.5</v>
      </c>
      <c r="G162" s="111">
        <v>44733</v>
      </c>
      <c r="H162" s="111">
        <v>44733</v>
      </c>
      <c r="I162" s="111">
        <v>45098</v>
      </c>
      <c r="J162" s="113" t="s">
        <v>30</v>
      </c>
      <c r="K162" s="114" t="s">
        <v>384</v>
      </c>
      <c r="L162" s="115" t="s">
        <v>35</v>
      </c>
      <c r="M162" s="107" t="s">
        <v>33</v>
      </c>
    </row>
    <row r="163" spans="1:13" s="116" customFormat="1" ht="86.25" customHeight="1">
      <c r="A163" s="105" t="str">
        <f t="shared" si="2"/>
        <v>21EB0059RETENTION BOND</v>
      </c>
      <c r="B163" s="106">
        <v>149</v>
      </c>
      <c r="C163" s="119" t="s">
        <v>381</v>
      </c>
      <c r="D163" s="108" t="s">
        <v>385</v>
      </c>
      <c r="E163" s="109" t="s">
        <v>386</v>
      </c>
      <c r="F163" s="110">
        <v>4189299.5</v>
      </c>
      <c r="G163" s="111">
        <v>44733</v>
      </c>
      <c r="H163" s="111">
        <v>44733</v>
      </c>
      <c r="I163" s="111">
        <v>45098</v>
      </c>
      <c r="J163" s="113" t="s">
        <v>30</v>
      </c>
      <c r="K163" s="114" t="s">
        <v>387</v>
      </c>
      <c r="L163" s="115" t="s">
        <v>35</v>
      </c>
      <c r="M163" s="107" t="s">
        <v>33</v>
      </c>
    </row>
    <row r="164" spans="1:13" s="116" customFormat="1" ht="82.5" customHeight="1">
      <c r="A164" s="105" t="str">
        <f t="shared" si="2"/>
        <v>21EB0055RETENTION BOND</v>
      </c>
      <c r="B164" s="106">
        <v>149</v>
      </c>
      <c r="C164" s="119" t="s">
        <v>381</v>
      </c>
      <c r="D164" s="108" t="s">
        <v>388</v>
      </c>
      <c r="E164" s="109" t="s">
        <v>389</v>
      </c>
      <c r="F164" s="110">
        <v>4655077.5</v>
      </c>
      <c r="G164" s="111">
        <v>44733</v>
      </c>
      <c r="H164" s="111">
        <v>44733</v>
      </c>
      <c r="I164" s="111">
        <v>45098</v>
      </c>
      <c r="J164" s="113" t="s">
        <v>30</v>
      </c>
      <c r="K164" s="114" t="s">
        <v>390</v>
      </c>
      <c r="L164" s="115" t="s">
        <v>35</v>
      </c>
      <c r="M164" s="107" t="s">
        <v>33</v>
      </c>
    </row>
    <row r="165" spans="1:13" s="116" customFormat="1" ht="82.5" customHeight="1">
      <c r="A165" s="105" t="str">
        <f t="shared" si="2"/>
        <v>21EB0041RETENTION BOND</v>
      </c>
      <c r="B165" s="106">
        <v>149</v>
      </c>
      <c r="C165" s="119" t="s">
        <v>75</v>
      </c>
      <c r="D165" s="108" t="s">
        <v>391</v>
      </c>
      <c r="E165" s="109" t="s">
        <v>392</v>
      </c>
      <c r="F165" s="110">
        <v>583504</v>
      </c>
      <c r="G165" s="111">
        <v>44741</v>
      </c>
      <c r="H165" s="111">
        <v>44741</v>
      </c>
      <c r="I165" s="111">
        <v>45106</v>
      </c>
      <c r="J165" s="113" t="s">
        <v>30</v>
      </c>
      <c r="K165" s="114" t="s">
        <v>393</v>
      </c>
      <c r="L165" s="115" t="s">
        <v>35</v>
      </c>
      <c r="M165" s="107" t="s">
        <v>33</v>
      </c>
    </row>
    <row r="166" spans="1:13" s="116" customFormat="1" ht="82.5" customHeight="1">
      <c r="A166" s="105" t="str">
        <f t="shared" si="2"/>
        <v>21EB0041RETENTION BOND</v>
      </c>
      <c r="B166" s="106">
        <v>149</v>
      </c>
      <c r="C166" s="119" t="s">
        <v>75</v>
      </c>
      <c r="D166" s="108" t="s">
        <v>391</v>
      </c>
      <c r="E166" s="109" t="s">
        <v>392</v>
      </c>
      <c r="F166" s="110">
        <v>583504</v>
      </c>
      <c r="G166" s="111">
        <v>44741</v>
      </c>
      <c r="H166" s="111">
        <v>44741</v>
      </c>
      <c r="I166" s="111">
        <v>45106</v>
      </c>
      <c r="J166" s="113" t="s">
        <v>30</v>
      </c>
      <c r="K166" s="114" t="s">
        <v>393</v>
      </c>
      <c r="L166" s="115" t="s">
        <v>35</v>
      </c>
      <c r="M166" s="107" t="s">
        <v>33</v>
      </c>
    </row>
    <row r="167" spans="1:13" s="116" customFormat="1" ht="82.5" customHeight="1">
      <c r="A167" s="105" t="str">
        <f t="shared" si="2"/>
        <v>21EB0135RETENTION BOND</v>
      </c>
      <c r="B167" s="106">
        <v>149</v>
      </c>
      <c r="C167" s="119" t="s">
        <v>36</v>
      </c>
      <c r="D167" s="108" t="s">
        <v>396</v>
      </c>
      <c r="E167" s="109" t="s">
        <v>395</v>
      </c>
      <c r="F167" s="110">
        <v>2894835.49</v>
      </c>
      <c r="G167" s="111">
        <v>44741</v>
      </c>
      <c r="H167" s="111">
        <v>44741</v>
      </c>
      <c r="I167" s="111">
        <v>45106</v>
      </c>
      <c r="J167" s="113" t="s">
        <v>30</v>
      </c>
      <c r="K167" s="114" t="s">
        <v>397</v>
      </c>
      <c r="L167" s="115" t="s">
        <v>28</v>
      </c>
      <c r="M167" s="107" t="s">
        <v>33</v>
      </c>
    </row>
    <row r="168" spans="1:13" s="116" customFormat="1" ht="82.5" customHeight="1">
      <c r="A168" s="105" t="str">
        <f t="shared" si="2"/>
        <v>21EB0054RETENTION BOND</v>
      </c>
      <c r="B168" s="106">
        <v>155</v>
      </c>
      <c r="C168" s="134" t="s">
        <v>398</v>
      </c>
      <c r="D168" s="108" t="s">
        <v>399</v>
      </c>
      <c r="E168" s="109" t="s">
        <v>400</v>
      </c>
      <c r="F168" s="110">
        <v>263693.76</v>
      </c>
      <c r="G168" s="111">
        <v>44741</v>
      </c>
      <c r="H168" s="111">
        <v>44741</v>
      </c>
      <c r="I168" s="111">
        <v>45106</v>
      </c>
      <c r="J168" s="113" t="s">
        <v>30</v>
      </c>
      <c r="K168" s="114" t="s">
        <v>401</v>
      </c>
      <c r="L168" s="115" t="s">
        <v>28</v>
      </c>
      <c r="M168" s="107" t="s">
        <v>33</v>
      </c>
    </row>
    <row r="169" spans="1:13" s="116" customFormat="1" ht="102" customHeight="1">
      <c r="A169" s="105" t="str">
        <f t="shared" si="2"/>
        <v>21EB0067RETENTION BOND</v>
      </c>
      <c r="B169" s="106">
        <v>156</v>
      </c>
      <c r="C169" s="119" t="s">
        <v>67</v>
      </c>
      <c r="D169" s="108" t="s">
        <v>403</v>
      </c>
      <c r="E169" s="109" t="s">
        <v>402</v>
      </c>
      <c r="F169" s="110">
        <v>1519860.27</v>
      </c>
      <c r="G169" s="111">
        <v>44748</v>
      </c>
      <c r="H169" s="111">
        <v>44748</v>
      </c>
      <c r="I169" s="111">
        <v>45113</v>
      </c>
      <c r="J169" s="113" t="s">
        <v>30</v>
      </c>
      <c r="K169" s="114" t="s">
        <v>404</v>
      </c>
      <c r="L169" s="115" t="s">
        <v>28</v>
      </c>
      <c r="M169" s="107" t="s">
        <v>33</v>
      </c>
    </row>
    <row r="170" spans="1:13" s="116" customFormat="1" ht="102" customHeight="1">
      <c r="A170" s="105" t="str">
        <f t="shared" si="2"/>
        <v>21EB0143-R1RETENTION BOND</v>
      </c>
      <c r="B170" s="106">
        <v>157</v>
      </c>
      <c r="C170" s="119" t="s">
        <v>75</v>
      </c>
      <c r="D170" s="108" t="s">
        <v>143</v>
      </c>
      <c r="E170" s="109" t="s">
        <v>405</v>
      </c>
      <c r="F170" s="110">
        <v>416450.36</v>
      </c>
      <c r="G170" s="111">
        <v>44756</v>
      </c>
      <c r="H170" s="111">
        <v>44756</v>
      </c>
      <c r="I170" s="111">
        <v>45121</v>
      </c>
      <c r="J170" s="113" t="s">
        <v>30</v>
      </c>
      <c r="K170" s="114" t="s">
        <v>406</v>
      </c>
      <c r="L170" s="115" t="s">
        <v>28</v>
      </c>
      <c r="M170" s="107" t="s">
        <v>33</v>
      </c>
    </row>
    <row r="171" spans="1:13" s="116" customFormat="1" ht="102" customHeight="1">
      <c r="A171" s="105" t="str">
        <f t="shared" si="2"/>
        <v>22EB0107CONTRACTOR'S ALL RISK POLICY</v>
      </c>
      <c r="B171" s="106">
        <v>158</v>
      </c>
      <c r="C171" s="119" t="s">
        <v>407</v>
      </c>
      <c r="D171" s="108" t="s">
        <v>408</v>
      </c>
      <c r="E171" s="109" t="s">
        <v>416</v>
      </c>
      <c r="F171" s="110">
        <v>22527972.469999999</v>
      </c>
      <c r="G171" s="111">
        <v>44749</v>
      </c>
      <c r="H171" s="111">
        <v>44749</v>
      </c>
      <c r="I171" s="111">
        <v>44963</v>
      </c>
      <c r="J171" s="113" t="s">
        <v>30</v>
      </c>
      <c r="K171" s="114" t="s">
        <v>409</v>
      </c>
      <c r="L171" s="115" t="s">
        <v>69</v>
      </c>
      <c r="M171" s="107" t="s">
        <v>31</v>
      </c>
    </row>
    <row r="172" spans="1:13" s="116" customFormat="1" ht="102" customHeight="1">
      <c r="A172" s="105" t="str">
        <f t="shared" si="2"/>
        <v>22EB0107PERFORMANCE BOND</v>
      </c>
      <c r="B172" s="106">
        <v>158</v>
      </c>
      <c r="C172" s="119" t="s">
        <v>407</v>
      </c>
      <c r="D172" s="108" t="s">
        <v>408</v>
      </c>
      <c r="E172" s="109" t="s">
        <v>416</v>
      </c>
      <c r="F172" s="110">
        <v>6758391.7400000002</v>
      </c>
      <c r="G172" s="111">
        <v>44749</v>
      </c>
      <c r="H172" s="111">
        <v>44749</v>
      </c>
      <c r="I172" s="111">
        <v>45480</v>
      </c>
      <c r="J172" s="113" t="s">
        <v>27</v>
      </c>
      <c r="K172" s="114" t="s">
        <v>410</v>
      </c>
      <c r="L172" s="115" t="s">
        <v>69</v>
      </c>
      <c r="M172" s="107" t="s">
        <v>40</v>
      </c>
    </row>
    <row r="173" spans="1:13" s="116" customFormat="1" ht="102" customHeight="1">
      <c r="A173" s="105" t="str">
        <f t="shared" si="2"/>
        <v>22EB0107ADVANCE PAYMENT BOND</v>
      </c>
      <c r="B173" s="106">
        <v>158</v>
      </c>
      <c r="C173" s="119" t="s">
        <v>407</v>
      </c>
      <c r="D173" s="108" t="s">
        <v>408</v>
      </c>
      <c r="E173" s="109" t="s">
        <v>416</v>
      </c>
      <c r="F173" s="110">
        <v>3379195.87</v>
      </c>
      <c r="G173" s="111">
        <v>44760</v>
      </c>
      <c r="H173" s="111">
        <v>44760</v>
      </c>
      <c r="I173" s="111">
        <v>44760</v>
      </c>
      <c r="J173" s="113" t="s">
        <v>30</v>
      </c>
      <c r="K173" s="114" t="s">
        <v>411</v>
      </c>
      <c r="L173" s="115" t="s">
        <v>69</v>
      </c>
      <c r="M173" s="107" t="s">
        <v>34</v>
      </c>
    </row>
    <row r="174" spans="1:13" s="116" customFormat="1" ht="102" customHeight="1">
      <c r="A174" s="105" t="str">
        <f t="shared" si="2"/>
        <v>22EB0097-R1CONTRACTOR'S ALL RISK POLICY</v>
      </c>
      <c r="B174" s="106">
        <v>161</v>
      </c>
      <c r="C174" s="119" t="s">
        <v>73</v>
      </c>
      <c r="D174" s="108" t="s">
        <v>412</v>
      </c>
      <c r="E174" s="109" t="s">
        <v>413</v>
      </c>
      <c r="F174" s="110">
        <v>45141156.75</v>
      </c>
      <c r="G174" s="111">
        <v>44749</v>
      </c>
      <c r="H174" s="111">
        <v>44749</v>
      </c>
      <c r="I174" s="111">
        <v>45114</v>
      </c>
      <c r="J174" s="113" t="s">
        <v>30</v>
      </c>
      <c r="K174" s="114" t="s">
        <v>414</v>
      </c>
      <c r="L174" s="115" t="s">
        <v>28</v>
      </c>
      <c r="M174" s="107" t="s">
        <v>31</v>
      </c>
    </row>
    <row r="175" spans="1:13" s="116" customFormat="1" ht="102" customHeight="1">
      <c r="A175" s="105" t="str">
        <f t="shared" si="2"/>
        <v>22EB0097-R1PERFORMANCE BOND</v>
      </c>
      <c r="B175" s="106">
        <v>161</v>
      </c>
      <c r="C175" s="119" t="s">
        <v>73</v>
      </c>
      <c r="D175" s="108" t="s">
        <v>412</v>
      </c>
      <c r="E175" s="109" t="s">
        <v>413</v>
      </c>
      <c r="F175" s="110">
        <v>13542374.029999999</v>
      </c>
      <c r="G175" s="111">
        <v>44749</v>
      </c>
      <c r="H175" s="111">
        <v>44749</v>
      </c>
      <c r="I175" s="111">
        <v>45480</v>
      </c>
      <c r="J175" s="113" t="s">
        <v>27</v>
      </c>
      <c r="K175" s="114" t="s">
        <v>415</v>
      </c>
      <c r="L175" s="115" t="s">
        <v>28</v>
      </c>
      <c r="M175" s="107" t="s">
        <v>40</v>
      </c>
    </row>
    <row r="176" spans="1:13" s="116" customFormat="1" ht="102" customHeight="1">
      <c r="A176" s="105" t="str">
        <f t="shared" si="2"/>
        <v>22EB0097-R1ADVANCE PAYMENT BOND</v>
      </c>
      <c r="B176" s="106">
        <v>161</v>
      </c>
      <c r="C176" s="119" t="s">
        <v>73</v>
      </c>
      <c r="D176" s="108" t="s">
        <v>412</v>
      </c>
      <c r="E176" s="109" t="s">
        <v>413</v>
      </c>
      <c r="F176" s="110">
        <v>6771173.5099999998</v>
      </c>
      <c r="G176" s="111">
        <v>44754</v>
      </c>
      <c r="H176" s="111">
        <v>44754</v>
      </c>
      <c r="I176" s="111">
        <v>45119</v>
      </c>
      <c r="J176" s="113" t="s">
        <v>30</v>
      </c>
      <c r="K176" s="114" t="s">
        <v>51</v>
      </c>
      <c r="L176" s="115" t="s">
        <v>28</v>
      </c>
      <c r="M176" s="107" t="s">
        <v>34</v>
      </c>
    </row>
    <row r="177" spans="1:13" s="116" customFormat="1" ht="102" customHeight="1">
      <c r="A177" s="105" t="str">
        <f t="shared" si="2"/>
        <v>20EB0112WARRANTY BOND</v>
      </c>
      <c r="B177" s="106">
        <v>164</v>
      </c>
      <c r="C177" s="119" t="s">
        <v>43</v>
      </c>
      <c r="D177" s="108" t="s">
        <v>417</v>
      </c>
      <c r="E177" s="109" t="s">
        <v>418</v>
      </c>
      <c r="F177" s="110">
        <v>1474681.89</v>
      </c>
      <c r="G177" s="111">
        <v>44753</v>
      </c>
      <c r="H177" s="111">
        <v>44753</v>
      </c>
      <c r="I177" s="111">
        <v>45118</v>
      </c>
      <c r="J177" s="113" t="s">
        <v>30</v>
      </c>
      <c r="K177" s="114" t="s">
        <v>419</v>
      </c>
      <c r="L177" s="115" t="s">
        <v>28</v>
      </c>
      <c r="M177" s="107" t="s">
        <v>37</v>
      </c>
    </row>
    <row r="178" spans="1:13" s="116" customFormat="1" ht="102" customHeight="1">
      <c r="A178" s="105" t="str">
        <f t="shared" si="2"/>
        <v>19EB0133WARRANTY BOND</v>
      </c>
      <c r="B178" s="106">
        <v>165</v>
      </c>
      <c r="C178" s="119" t="s">
        <v>41</v>
      </c>
      <c r="D178" s="108" t="s">
        <v>420</v>
      </c>
      <c r="E178" s="109" t="s">
        <v>421</v>
      </c>
      <c r="F178" s="110">
        <v>10058698.460000001</v>
      </c>
      <c r="G178" s="111">
        <v>44753</v>
      </c>
      <c r="H178" s="111">
        <v>44753</v>
      </c>
      <c r="I178" s="111">
        <v>45118</v>
      </c>
      <c r="J178" s="113" t="s">
        <v>30</v>
      </c>
      <c r="K178" s="114" t="s">
        <v>422</v>
      </c>
      <c r="L178" s="115" t="s">
        <v>28</v>
      </c>
      <c r="M178" s="107" t="s">
        <v>37</v>
      </c>
    </row>
    <row r="179" spans="1:13" s="116" customFormat="1" ht="102" customHeight="1">
      <c r="A179" s="105" t="str">
        <f t="shared" si="2"/>
        <v>17EB0136WARRANTY BOND</v>
      </c>
      <c r="B179" s="106">
        <v>166</v>
      </c>
      <c r="C179" s="119" t="s">
        <v>377</v>
      </c>
      <c r="D179" s="108" t="s">
        <v>423</v>
      </c>
      <c r="E179" s="109" t="s">
        <v>424</v>
      </c>
      <c r="F179" s="110">
        <v>11320259.91</v>
      </c>
      <c r="G179" s="111">
        <v>44753</v>
      </c>
      <c r="H179" s="111">
        <v>44753</v>
      </c>
      <c r="I179" s="111">
        <v>45118</v>
      </c>
      <c r="J179" s="113" t="s">
        <v>30</v>
      </c>
      <c r="K179" s="114" t="s">
        <v>425</v>
      </c>
      <c r="L179" s="115" t="s">
        <v>28</v>
      </c>
      <c r="M179" s="107" t="s">
        <v>37</v>
      </c>
    </row>
    <row r="180" spans="1:13" s="116" customFormat="1" ht="102" customHeight="1">
      <c r="A180" s="105" t="str">
        <f t="shared" si="2"/>
        <v>20EB0039WARRANTY BOND</v>
      </c>
      <c r="B180" s="106">
        <v>167</v>
      </c>
      <c r="C180" s="119" t="s">
        <v>426</v>
      </c>
      <c r="D180" s="108" t="s">
        <v>427</v>
      </c>
      <c r="E180" s="109" t="s">
        <v>428</v>
      </c>
      <c r="F180" s="110">
        <v>876283.58</v>
      </c>
      <c r="G180" s="111">
        <v>44753</v>
      </c>
      <c r="H180" s="111">
        <v>44753</v>
      </c>
      <c r="I180" s="111">
        <v>45118</v>
      </c>
      <c r="J180" s="113" t="s">
        <v>30</v>
      </c>
      <c r="K180" s="114" t="s">
        <v>429</v>
      </c>
      <c r="L180" s="115" t="s">
        <v>28</v>
      </c>
      <c r="M180" s="107" t="s">
        <v>37</v>
      </c>
    </row>
    <row r="181" spans="1:13" s="116" customFormat="1" ht="102" customHeight="1">
      <c r="A181" s="105" t="str">
        <f t="shared" si="2"/>
        <v>20EB0142WARRANTY BOND</v>
      </c>
      <c r="B181" s="106">
        <v>168</v>
      </c>
      <c r="C181" s="119" t="s">
        <v>67</v>
      </c>
      <c r="D181" s="108" t="s">
        <v>430</v>
      </c>
      <c r="E181" s="109" t="s">
        <v>431</v>
      </c>
      <c r="F181" s="110">
        <v>3634702</v>
      </c>
      <c r="G181" s="111">
        <v>44753</v>
      </c>
      <c r="H181" s="111">
        <v>44753</v>
      </c>
      <c r="I181" s="111">
        <v>45118</v>
      </c>
      <c r="J181" s="113" t="s">
        <v>30</v>
      </c>
      <c r="K181" s="114" t="s">
        <v>432</v>
      </c>
      <c r="L181" s="115" t="s">
        <v>28</v>
      </c>
      <c r="M181" s="107" t="s">
        <v>37</v>
      </c>
    </row>
    <row r="182" spans="1:13" s="116" customFormat="1" ht="102" customHeight="1">
      <c r="A182" s="105" t="str">
        <f t="shared" si="2"/>
        <v>21EB0040WARRANTY BOND</v>
      </c>
      <c r="B182" s="106">
        <v>169</v>
      </c>
      <c r="C182" s="119" t="s">
        <v>433</v>
      </c>
      <c r="D182" s="108" t="s">
        <v>434</v>
      </c>
      <c r="E182" s="109" t="s">
        <v>435</v>
      </c>
      <c r="F182" s="110">
        <v>1176474.6000000001</v>
      </c>
      <c r="G182" s="111">
        <v>44753</v>
      </c>
      <c r="H182" s="111">
        <v>44753</v>
      </c>
      <c r="I182" s="111">
        <v>45118</v>
      </c>
      <c r="J182" s="113" t="s">
        <v>30</v>
      </c>
      <c r="K182" s="114" t="s">
        <v>436</v>
      </c>
      <c r="L182" s="115" t="s">
        <v>28</v>
      </c>
      <c r="M182" s="107" t="s">
        <v>37</v>
      </c>
    </row>
    <row r="183" spans="1:13" s="116" customFormat="1" ht="102" customHeight="1">
      <c r="A183" s="105" t="str">
        <f t="shared" si="2"/>
        <v>18EB0014RETENTION BOND</v>
      </c>
      <c r="B183" s="106">
        <v>170</v>
      </c>
      <c r="C183" s="119" t="s">
        <v>377</v>
      </c>
      <c r="D183" s="108" t="s">
        <v>437</v>
      </c>
      <c r="E183" s="109" t="s">
        <v>438</v>
      </c>
      <c r="F183" s="110">
        <v>7339662.1200000001</v>
      </c>
      <c r="G183" s="111">
        <v>44755</v>
      </c>
      <c r="H183" s="111">
        <v>44755</v>
      </c>
      <c r="I183" s="111">
        <v>45120</v>
      </c>
      <c r="J183" s="113" t="s">
        <v>30</v>
      </c>
      <c r="K183" s="114" t="s">
        <v>439</v>
      </c>
      <c r="L183" s="115" t="s">
        <v>28</v>
      </c>
      <c r="M183" s="107" t="s">
        <v>33</v>
      </c>
    </row>
    <row r="184" spans="1:13" s="120" customFormat="1" ht="102" customHeight="1">
      <c r="A184" s="105" t="str">
        <f t="shared" si="2"/>
        <v>21EB0076RETENTION BOND</v>
      </c>
      <c r="B184" s="106">
        <v>171</v>
      </c>
      <c r="C184" s="119" t="s">
        <v>440</v>
      </c>
      <c r="D184" s="108" t="s">
        <v>441</v>
      </c>
      <c r="E184" s="109" t="s">
        <v>442</v>
      </c>
      <c r="F184" s="110">
        <v>4703785.9000000004</v>
      </c>
      <c r="G184" s="111">
        <v>44762</v>
      </c>
      <c r="H184" s="111">
        <v>44762</v>
      </c>
      <c r="I184" s="111">
        <v>45127</v>
      </c>
      <c r="J184" s="113" t="s">
        <v>30</v>
      </c>
      <c r="K184" s="114" t="s">
        <v>443</v>
      </c>
      <c r="L184" s="115" t="s">
        <v>28</v>
      </c>
      <c r="M184" s="107" t="s">
        <v>33</v>
      </c>
    </row>
    <row r="185" spans="1:13" s="120" customFormat="1" ht="102" customHeight="1">
      <c r="A185" s="105" t="str">
        <f t="shared" si="2"/>
        <v>22EB0002RETENTION BOND</v>
      </c>
      <c r="B185" s="106">
        <v>172</v>
      </c>
      <c r="C185" s="119" t="s">
        <v>58</v>
      </c>
      <c r="D185" s="108" t="s">
        <v>287</v>
      </c>
      <c r="E185" s="109" t="s">
        <v>444</v>
      </c>
      <c r="F185" s="110">
        <v>717127.96</v>
      </c>
      <c r="G185" s="111">
        <v>44774</v>
      </c>
      <c r="H185" s="111">
        <v>44774</v>
      </c>
      <c r="I185" s="111">
        <v>45139</v>
      </c>
      <c r="J185" s="113" t="s">
        <v>30</v>
      </c>
      <c r="K185" s="114" t="s">
        <v>445</v>
      </c>
      <c r="L185" s="115" t="s">
        <v>28</v>
      </c>
      <c r="M185" s="107" t="s">
        <v>33</v>
      </c>
    </row>
    <row r="186" spans="1:13" s="120" customFormat="1" ht="102" customHeight="1">
      <c r="A186" s="105" t="str">
        <f t="shared" si="2"/>
        <v>22EB0015RETENTION BOND</v>
      </c>
      <c r="B186" s="106">
        <v>173</v>
      </c>
      <c r="C186" s="119" t="s">
        <v>170</v>
      </c>
      <c r="D186" s="108" t="s">
        <v>446</v>
      </c>
      <c r="E186" s="109" t="s">
        <v>447</v>
      </c>
      <c r="F186" s="110">
        <v>719794.43</v>
      </c>
      <c r="G186" s="111">
        <v>44790</v>
      </c>
      <c r="H186" s="111">
        <v>44790</v>
      </c>
      <c r="I186" s="111">
        <v>45023</v>
      </c>
      <c r="J186" s="113" t="s">
        <v>30</v>
      </c>
      <c r="K186" s="114" t="s">
        <v>448</v>
      </c>
      <c r="L186" s="115" t="s">
        <v>28</v>
      </c>
      <c r="M186" s="107" t="s">
        <v>33</v>
      </c>
    </row>
    <row r="187" spans="1:13" s="120" customFormat="1" ht="102" customHeight="1">
      <c r="A187" s="105" t="str">
        <f t="shared" si="2"/>
        <v>22EB0102RETENTION BOND</v>
      </c>
      <c r="B187" s="106">
        <v>174</v>
      </c>
      <c r="C187" s="119" t="s">
        <v>44</v>
      </c>
      <c r="D187" s="108" t="s">
        <v>338</v>
      </c>
      <c r="E187" s="109" t="s">
        <v>339</v>
      </c>
      <c r="F187" s="110">
        <v>78472.95</v>
      </c>
      <c r="G187" s="111">
        <v>44751</v>
      </c>
      <c r="H187" s="111">
        <v>44751</v>
      </c>
      <c r="I187" s="111">
        <v>45116</v>
      </c>
      <c r="J187" s="113" t="s">
        <v>30</v>
      </c>
      <c r="K187" s="114" t="s">
        <v>449</v>
      </c>
      <c r="L187" s="115" t="s">
        <v>69</v>
      </c>
      <c r="M187" s="107" t="s">
        <v>33</v>
      </c>
    </row>
    <row r="188" spans="1:13" s="120" customFormat="1" ht="102" customHeight="1">
      <c r="A188" s="105" t="str">
        <f t="shared" si="2"/>
        <v>22EB0065RETENTION BOND</v>
      </c>
      <c r="B188" s="106">
        <v>175</v>
      </c>
      <c r="C188" s="119" t="s">
        <v>41</v>
      </c>
      <c r="D188" s="108" t="s">
        <v>450</v>
      </c>
      <c r="E188" s="109" t="s">
        <v>451</v>
      </c>
      <c r="F188" s="110">
        <v>99434.41</v>
      </c>
      <c r="G188" s="111">
        <v>44417</v>
      </c>
      <c r="H188" s="111">
        <v>44417</v>
      </c>
      <c r="I188" s="111">
        <v>44782</v>
      </c>
      <c r="J188" s="113" t="s">
        <v>30</v>
      </c>
      <c r="K188" s="114" t="s">
        <v>452</v>
      </c>
      <c r="L188" s="115" t="s">
        <v>28</v>
      </c>
      <c r="M188" s="107" t="s">
        <v>33</v>
      </c>
    </row>
    <row r="189" spans="1:13" s="120" customFormat="1" ht="93.75" customHeight="1">
      <c r="A189" s="105" t="str">
        <f t="shared" si="2"/>
        <v>20EB0045WARRANTY BOND</v>
      </c>
      <c r="B189" s="106">
        <v>176</v>
      </c>
      <c r="C189" s="119" t="s">
        <v>453</v>
      </c>
      <c r="D189" s="108" t="s">
        <v>454</v>
      </c>
      <c r="E189" s="109" t="s">
        <v>455</v>
      </c>
      <c r="F189" s="110">
        <v>10583566.439999999</v>
      </c>
      <c r="G189" s="111">
        <v>44750</v>
      </c>
      <c r="H189" s="111">
        <v>44750</v>
      </c>
      <c r="I189" s="111">
        <v>45115</v>
      </c>
      <c r="J189" s="113" t="s">
        <v>30</v>
      </c>
      <c r="K189" s="114" t="s">
        <v>456</v>
      </c>
      <c r="L189" s="115" t="s">
        <v>69</v>
      </c>
      <c r="M189" s="107" t="s">
        <v>37</v>
      </c>
    </row>
    <row r="190" spans="1:13" s="120" customFormat="1" ht="102" customHeight="1">
      <c r="A190" s="105" t="str">
        <f t="shared" si="2"/>
        <v>22EB0106PERFORMANCE BOND</v>
      </c>
      <c r="B190" s="106">
        <v>177</v>
      </c>
      <c r="C190" s="119" t="s">
        <v>44</v>
      </c>
      <c r="D190" s="108" t="s">
        <v>457</v>
      </c>
      <c r="E190" s="109" t="s">
        <v>458</v>
      </c>
      <c r="F190" s="110">
        <v>932426.09</v>
      </c>
      <c r="G190" s="111">
        <v>44744</v>
      </c>
      <c r="H190" s="111">
        <v>44744</v>
      </c>
      <c r="I190" s="111">
        <v>45109</v>
      </c>
      <c r="J190" s="113" t="s">
        <v>27</v>
      </c>
      <c r="K190" s="114" t="s">
        <v>459</v>
      </c>
      <c r="L190" s="115" t="s">
        <v>69</v>
      </c>
      <c r="M190" s="107" t="s">
        <v>40</v>
      </c>
    </row>
    <row r="191" spans="1:13" s="120" customFormat="1" ht="102" customHeight="1">
      <c r="A191" s="105" t="str">
        <f t="shared" si="2"/>
        <v>22EB0106CONTRACTOR'S ALL RISK POLICY</v>
      </c>
      <c r="B191" s="106">
        <v>177</v>
      </c>
      <c r="C191" s="119" t="s">
        <v>44</v>
      </c>
      <c r="D191" s="108" t="s">
        <v>457</v>
      </c>
      <c r="E191" s="109" t="s">
        <v>458</v>
      </c>
      <c r="F191" s="110">
        <v>3108086.97</v>
      </c>
      <c r="G191" s="111">
        <v>44744</v>
      </c>
      <c r="H191" s="111">
        <v>44744</v>
      </c>
      <c r="I191" s="111">
        <v>45245</v>
      </c>
      <c r="J191" s="113" t="s">
        <v>30</v>
      </c>
      <c r="K191" s="114" t="s">
        <v>460</v>
      </c>
      <c r="L191" s="115" t="s">
        <v>69</v>
      </c>
      <c r="M191" s="107" t="s">
        <v>31</v>
      </c>
    </row>
    <row r="192" spans="1:13" s="120" customFormat="1" ht="124.5" customHeight="1">
      <c r="A192" s="105" t="str">
        <f t="shared" si="2"/>
        <v>22EB0109PERFORMANCE BOND</v>
      </c>
      <c r="B192" s="106">
        <v>177</v>
      </c>
      <c r="C192" s="119" t="s">
        <v>44</v>
      </c>
      <c r="D192" s="108" t="s">
        <v>461</v>
      </c>
      <c r="E192" s="109" t="s">
        <v>462</v>
      </c>
      <c r="F192" s="110">
        <v>1083006.29</v>
      </c>
      <c r="G192" s="111">
        <v>44771</v>
      </c>
      <c r="H192" s="111">
        <v>44771</v>
      </c>
      <c r="I192" s="111">
        <v>45502</v>
      </c>
      <c r="J192" s="113" t="s">
        <v>27</v>
      </c>
      <c r="K192" s="114" t="s">
        <v>463</v>
      </c>
      <c r="L192" s="115" t="s">
        <v>69</v>
      </c>
      <c r="M192" s="107" t="s">
        <v>40</v>
      </c>
    </row>
    <row r="193" spans="1:13" s="120" customFormat="1" ht="124.5" customHeight="1">
      <c r="A193" s="105" t="str">
        <f t="shared" si="2"/>
        <v>22EB0108PERFORMANCE BOND</v>
      </c>
      <c r="B193" s="106">
        <v>177</v>
      </c>
      <c r="C193" s="119" t="s">
        <v>44</v>
      </c>
      <c r="D193" s="108" t="s">
        <v>464</v>
      </c>
      <c r="E193" s="109" t="s">
        <v>465</v>
      </c>
      <c r="F193" s="110">
        <v>197959.25</v>
      </c>
      <c r="G193" s="111">
        <v>44763</v>
      </c>
      <c r="H193" s="111">
        <v>44763</v>
      </c>
      <c r="I193" s="111">
        <v>45494</v>
      </c>
      <c r="J193" s="113" t="s">
        <v>27</v>
      </c>
      <c r="K193" s="114" t="s">
        <v>466</v>
      </c>
      <c r="L193" s="115" t="s">
        <v>69</v>
      </c>
      <c r="M193" s="107" t="s">
        <v>40</v>
      </c>
    </row>
    <row r="194" spans="1:13" s="120" customFormat="1" ht="102" customHeight="1">
      <c r="A194" s="105" t="str">
        <f t="shared" si="2"/>
        <v>22EB0068WARRANTY BOND</v>
      </c>
      <c r="B194" s="106">
        <v>181</v>
      </c>
      <c r="C194" s="119" t="s">
        <v>467</v>
      </c>
      <c r="D194" s="108" t="s">
        <v>468</v>
      </c>
      <c r="E194" s="109" t="s">
        <v>469</v>
      </c>
      <c r="F194" s="110">
        <v>2072660.15</v>
      </c>
      <c r="G194" s="111">
        <v>44754</v>
      </c>
      <c r="H194" s="111">
        <v>44754</v>
      </c>
      <c r="I194" s="111">
        <v>45119</v>
      </c>
      <c r="J194" s="113" t="s">
        <v>30</v>
      </c>
      <c r="K194" s="114" t="s">
        <v>470</v>
      </c>
      <c r="L194" s="115" t="s">
        <v>32</v>
      </c>
      <c r="M194" s="107" t="s">
        <v>37</v>
      </c>
    </row>
    <row r="195" spans="1:13" s="120" customFormat="1" ht="102" customHeight="1">
      <c r="A195" s="105" t="str">
        <f t="shared" si="2"/>
        <v>19EB0033WARRANTY BOND</v>
      </c>
      <c r="B195" s="106">
        <v>181</v>
      </c>
      <c r="C195" s="119" t="s">
        <v>471</v>
      </c>
      <c r="D195" s="108" t="s">
        <v>472</v>
      </c>
      <c r="E195" s="109" t="s">
        <v>473</v>
      </c>
      <c r="F195" s="110">
        <v>3231668.5</v>
      </c>
      <c r="G195" s="111">
        <v>44251</v>
      </c>
      <c r="H195" s="111">
        <v>44251</v>
      </c>
      <c r="I195" s="111">
        <v>44616</v>
      </c>
      <c r="J195" s="113" t="s">
        <v>30</v>
      </c>
      <c r="K195" s="114" t="s">
        <v>474</v>
      </c>
      <c r="L195" s="115" t="s">
        <v>35</v>
      </c>
      <c r="M195" s="107" t="s">
        <v>37</v>
      </c>
    </row>
    <row r="196" spans="1:13" s="120" customFormat="1" ht="102" customHeight="1">
      <c r="A196" s="105" t="str">
        <f t="shared" si="2"/>
        <v>21EB0138RETENTION BOND</v>
      </c>
      <c r="B196" s="106">
        <v>183</v>
      </c>
      <c r="C196" s="119" t="s">
        <v>42</v>
      </c>
      <c r="D196" s="108" t="s">
        <v>137</v>
      </c>
      <c r="E196" s="109" t="s">
        <v>138</v>
      </c>
      <c r="F196" s="110">
        <v>237740.5</v>
      </c>
      <c r="G196" s="111">
        <v>44826</v>
      </c>
      <c r="H196" s="111">
        <v>44826</v>
      </c>
      <c r="I196" s="111">
        <v>45191</v>
      </c>
      <c r="J196" s="113" t="s">
        <v>30</v>
      </c>
      <c r="K196" s="114" t="s">
        <v>475</v>
      </c>
      <c r="L196" s="115" t="s">
        <v>35</v>
      </c>
      <c r="M196" s="107" t="s">
        <v>33</v>
      </c>
    </row>
    <row r="197" spans="1:13" s="116" customFormat="1" ht="102" customHeight="1">
      <c r="A197" s="105" t="str">
        <f t="shared" si="2"/>
        <v>22EB0021RETENTION BOND</v>
      </c>
      <c r="B197" s="106">
        <v>184</v>
      </c>
      <c r="C197" s="119" t="s">
        <v>36</v>
      </c>
      <c r="D197" s="108" t="s">
        <v>476</v>
      </c>
      <c r="E197" s="109" t="s">
        <v>477</v>
      </c>
      <c r="F197" s="110">
        <v>3288117.81</v>
      </c>
      <c r="G197" s="111">
        <v>44825</v>
      </c>
      <c r="H197" s="111">
        <v>44825</v>
      </c>
      <c r="I197" s="111">
        <v>45190</v>
      </c>
      <c r="J197" s="113" t="s">
        <v>30</v>
      </c>
      <c r="K197" s="114" t="s">
        <v>478</v>
      </c>
      <c r="L197" s="115" t="s">
        <v>28</v>
      </c>
      <c r="M197" s="107" t="s">
        <v>33</v>
      </c>
    </row>
    <row r="198" spans="1:13" s="116" customFormat="1" ht="79.5" customHeight="1">
      <c r="A198" s="105" t="str">
        <f t="shared" si="2"/>
        <v>19EB0062WARRANTY BOND</v>
      </c>
      <c r="B198" s="106">
        <v>185</v>
      </c>
      <c r="C198" s="119" t="s">
        <v>440</v>
      </c>
      <c r="D198" s="108" t="s">
        <v>479</v>
      </c>
      <c r="E198" s="109" t="s">
        <v>480</v>
      </c>
      <c r="F198" s="110">
        <v>1469991.5</v>
      </c>
      <c r="G198" s="111">
        <v>44512</v>
      </c>
      <c r="H198" s="111">
        <v>44512</v>
      </c>
      <c r="I198" s="111">
        <v>44877</v>
      </c>
      <c r="J198" s="113" t="s">
        <v>30</v>
      </c>
      <c r="K198" s="114" t="s">
        <v>481</v>
      </c>
      <c r="L198" s="115" t="s">
        <v>35</v>
      </c>
      <c r="M198" s="107" t="s">
        <v>37</v>
      </c>
    </row>
    <row r="199" spans="1:13" s="116" customFormat="1" ht="79.5" customHeight="1">
      <c r="A199" s="105" t="str">
        <f t="shared" si="2"/>
        <v>19EB0062 WARRANTY BOND</v>
      </c>
      <c r="B199" s="106">
        <v>185</v>
      </c>
      <c r="C199" s="119" t="s">
        <v>440</v>
      </c>
      <c r="D199" s="108" t="s">
        <v>484</v>
      </c>
      <c r="E199" s="109" t="s">
        <v>482</v>
      </c>
      <c r="F199" s="110">
        <v>1451617</v>
      </c>
      <c r="G199" s="111">
        <v>44628</v>
      </c>
      <c r="H199" s="111">
        <v>44628</v>
      </c>
      <c r="I199" s="111">
        <v>44993</v>
      </c>
      <c r="J199" s="113" t="s">
        <v>30</v>
      </c>
      <c r="K199" s="114" t="s">
        <v>483</v>
      </c>
      <c r="L199" s="115" t="s">
        <v>35</v>
      </c>
      <c r="M199" s="107" t="s">
        <v>37</v>
      </c>
    </row>
    <row r="200" spans="1:13" s="116" customFormat="1" ht="79.5" customHeight="1">
      <c r="A200" s="105" t="str">
        <f t="shared" si="2"/>
        <v>21EB0121RETENTION BOND</v>
      </c>
      <c r="B200" s="106">
        <v>187</v>
      </c>
      <c r="C200" s="119" t="s">
        <v>36</v>
      </c>
      <c r="D200" s="108" t="s">
        <v>87</v>
      </c>
      <c r="E200" s="109" t="s">
        <v>485</v>
      </c>
      <c r="F200" s="110">
        <v>470562.61</v>
      </c>
      <c r="G200" s="111">
        <v>44848</v>
      </c>
      <c r="H200" s="111">
        <v>44848</v>
      </c>
      <c r="I200" s="111">
        <v>45213</v>
      </c>
      <c r="J200" s="113" t="s">
        <v>30</v>
      </c>
      <c r="K200" s="114" t="s">
        <v>486</v>
      </c>
      <c r="L200" s="115" t="s">
        <v>28</v>
      </c>
      <c r="M200" s="107" t="s">
        <v>33</v>
      </c>
    </row>
    <row r="201" spans="1:13" s="116" customFormat="1" ht="135.75" customHeight="1">
      <c r="A201" s="105" t="str">
        <f t="shared" si="2"/>
        <v>22EB0114PERFORMANCE BOND</v>
      </c>
      <c r="B201" s="106">
        <v>188</v>
      </c>
      <c r="C201" s="119" t="s">
        <v>44</v>
      </c>
      <c r="D201" s="108" t="s">
        <v>487</v>
      </c>
      <c r="E201" s="109" t="s">
        <v>488</v>
      </c>
      <c r="F201" s="110">
        <v>8089738.4000000004</v>
      </c>
      <c r="G201" s="111">
        <v>44833</v>
      </c>
      <c r="H201" s="111">
        <v>44833</v>
      </c>
      <c r="I201" s="111">
        <v>45564</v>
      </c>
      <c r="J201" s="113" t="s">
        <v>27</v>
      </c>
      <c r="K201" s="114" t="s">
        <v>489</v>
      </c>
      <c r="L201" s="115" t="s">
        <v>69</v>
      </c>
      <c r="M201" s="107" t="s">
        <v>40</v>
      </c>
    </row>
    <row r="202" spans="1:13" s="116" customFormat="1" ht="135.75" customHeight="1">
      <c r="A202" s="105" t="str">
        <f t="shared" si="2"/>
        <v>22EB0114CONTRACTOR'S ALL RISK POLICY</v>
      </c>
      <c r="B202" s="106">
        <v>188</v>
      </c>
      <c r="C202" s="119" t="s">
        <v>44</v>
      </c>
      <c r="D202" s="108" t="s">
        <v>487</v>
      </c>
      <c r="E202" s="109" t="s">
        <v>488</v>
      </c>
      <c r="F202" s="110">
        <v>26965794.670000002</v>
      </c>
      <c r="G202" s="111">
        <v>44848</v>
      </c>
      <c r="H202" s="111">
        <v>44848</v>
      </c>
      <c r="I202" s="111">
        <v>45213</v>
      </c>
      <c r="J202" s="113" t="s">
        <v>30</v>
      </c>
      <c r="K202" s="114" t="s">
        <v>490</v>
      </c>
      <c r="L202" s="115" t="s">
        <v>69</v>
      </c>
      <c r="M202" s="107" t="s">
        <v>31</v>
      </c>
    </row>
    <row r="203" spans="1:13" s="116" customFormat="1" ht="135.75" customHeight="1">
      <c r="A203" s="105" t="str">
        <f t="shared" si="2"/>
        <v>22EB0114ADVANCE PAYMENT BOND</v>
      </c>
      <c r="B203" s="106">
        <v>188</v>
      </c>
      <c r="C203" s="119" t="s">
        <v>44</v>
      </c>
      <c r="D203" s="108" t="s">
        <v>487</v>
      </c>
      <c r="E203" s="109" t="s">
        <v>488</v>
      </c>
      <c r="F203" s="110">
        <v>4044869.2</v>
      </c>
      <c r="G203" s="111">
        <v>44848</v>
      </c>
      <c r="H203" s="111">
        <v>44848</v>
      </c>
      <c r="I203" s="111">
        <v>45213</v>
      </c>
      <c r="J203" s="113" t="s">
        <v>30</v>
      </c>
      <c r="K203" s="114" t="s">
        <v>491</v>
      </c>
      <c r="L203" s="115" t="s">
        <v>69</v>
      </c>
      <c r="M203" s="107" t="s">
        <v>34</v>
      </c>
    </row>
    <row r="204" spans="1:13" s="116" customFormat="1" ht="135.75" customHeight="1">
      <c r="A204" s="105" t="str">
        <f t="shared" si="2"/>
        <v>17EB0060WARRANTY BOND</v>
      </c>
      <c r="B204" s="106">
        <v>191</v>
      </c>
      <c r="C204" s="119" t="s">
        <v>492</v>
      </c>
      <c r="D204" s="108" t="s">
        <v>493</v>
      </c>
      <c r="E204" s="109" t="s">
        <v>494</v>
      </c>
      <c r="F204" s="110">
        <v>10783729.85</v>
      </c>
      <c r="G204" s="111">
        <v>44267</v>
      </c>
      <c r="H204" s="111">
        <v>44267</v>
      </c>
      <c r="I204" s="111">
        <v>44632</v>
      </c>
      <c r="J204" s="113" t="s">
        <v>30</v>
      </c>
      <c r="K204" s="114" t="s">
        <v>495</v>
      </c>
      <c r="L204" s="115" t="s">
        <v>496</v>
      </c>
      <c r="M204" s="107" t="s">
        <v>37</v>
      </c>
    </row>
    <row r="205" spans="1:13" s="116" customFormat="1" ht="79.5" customHeight="1">
      <c r="A205" s="105" t="str">
        <f t="shared" si="2"/>
        <v>21EB0145RETENTION BOND</v>
      </c>
      <c r="B205" s="106">
        <v>192</v>
      </c>
      <c r="C205" s="119" t="s">
        <v>75</v>
      </c>
      <c r="D205" s="108" t="s">
        <v>146</v>
      </c>
      <c r="E205" s="109" t="s">
        <v>147</v>
      </c>
      <c r="F205" s="110">
        <v>479054</v>
      </c>
      <c r="G205" s="111">
        <v>44854</v>
      </c>
      <c r="H205" s="111">
        <v>44854</v>
      </c>
      <c r="I205" s="111">
        <v>45219</v>
      </c>
      <c r="J205" s="113" t="s">
        <v>30</v>
      </c>
      <c r="K205" s="114" t="s">
        <v>497</v>
      </c>
      <c r="L205" s="115" t="s">
        <v>35</v>
      </c>
      <c r="M205" s="107" t="s">
        <v>33</v>
      </c>
    </row>
    <row r="206" spans="1:13" s="116" customFormat="1" ht="135.75" customHeight="1">
      <c r="A206" s="105" t="str">
        <f t="shared" ref="A206:A213" si="3">D206&amp;M206</f>
        <v>21EB0137RETENTION BOND</v>
      </c>
      <c r="B206" s="106">
        <v>193</v>
      </c>
      <c r="C206" s="119" t="s">
        <v>42</v>
      </c>
      <c r="D206" s="108" t="s">
        <v>367</v>
      </c>
      <c r="E206" s="109" t="s">
        <v>498</v>
      </c>
      <c r="F206" s="110">
        <v>197866.5</v>
      </c>
      <c r="G206" s="111">
        <v>44848</v>
      </c>
      <c r="H206" s="111">
        <v>44848</v>
      </c>
      <c r="I206" s="111">
        <v>45213</v>
      </c>
      <c r="J206" s="113" t="s">
        <v>30</v>
      </c>
      <c r="K206" s="114" t="s">
        <v>499</v>
      </c>
      <c r="L206" s="115" t="s">
        <v>35</v>
      </c>
      <c r="M206" s="107" t="s">
        <v>33</v>
      </c>
    </row>
    <row r="207" spans="1:13" s="116" customFormat="1" ht="79.5" customHeight="1">
      <c r="A207" s="105" t="str">
        <f t="shared" si="3"/>
        <v>21EB0142RETENTION BOND</v>
      </c>
      <c r="B207" s="106">
        <v>194</v>
      </c>
      <c r="C207" s="119" t="s">
        <v>42</v>
      </c>
      <c r="D207" s="108" t="s">
        <v>364</v>
      </c>
      <c r="E207" s="109" t="s">
        <v>500</v>
      </c>
      <c r="F207" s="110">
        <v>374905.5</v>
      </c>
      <c r="G207" s="111">
        <v>44848</v>
      </c>
      <c r="H207" s="111">
        <v>44848</v>
      </c>
      <c r="I207" s="111">
        <v>45213</v>
      </c>
      <c r="J207" s="113" t="s">
        <v>30</v>
      </c>
      <c r="K207" s="114" t="s">
        <v>501</v>
      </c>
      <c r="L207" s="115" t="s">
        <v>35</v>
      </c>
      <c r="M207" s="107" t="s">
        <v>33</v>
      </c>
    </row>
    <row r="208" spans="1:13" s="116" customFormat="1" ht="79.5" customHeight="1">
      <c r="A208" s="105" t="str">
        <f t="shared" si="3"/>
        <v>22EB0069-R1RETENTION BOND</v>
      </c>
      <c r="B208" s="106">
        <v>195</v>
      </c>
      <c r="C208" s="119" t="s">
        <v>45</v>
      </c>
      <c r="D208" s="108" t="s">
        <v>502</v>
      </c>
      <c r="E208" s="109" t="s">
        <v>503</v>
      </c>
      <c r="F208" s="110">
        <v>692894.45</v>
      </c>
      <c r="G208" s="111">
        <v>44837</v>
      </c>
      <c r="H208" s="111">
        <v>44837</v>
      </c>
      <c r="I208" s="111">
        <v>45202</v>
      </c>
      <c r="J208" s="113" t="s">
        <v>30</v>
      </c>
      <c r="K208" s="114" t="s">
        <v>504</v>
      </c>
      <c r="L208" s="115" t="s">
        <v>69</v>
      </c>
      <c r="M208" s="107" t="s">
        <v>33</v>
      </c>
    </row>
    <row r="209" spans="1:13" s="116" customFormat="1" ht="79.5" customHeight="1">
      <c r="A209" s="105" t="str">
        <f t="shared" si="3"/>
        <v>21EB0123RETENTION BOND</v>
      </c>
      <c r="B209" s="106">
        <v>187</v>
      </c>
      <c r="C209" s="119" t="s">
        <v>36</v>
      </c>
      <c r="D209" s="108" t="s">
        <v>83</v>
      </c>
      <c r="E209" s="109" t="s">
        <v>505</v>
      </c>
      <c r="F209" s="110">
        <v>489696.53</v>
      </c>
      <c r="G209" s="111">
        <v>44848</v>
      </c>
      <c r="H209" s="111">
        <v>44848</v>
      </c>
      <c r="I209" s="111">
        <v>45213</v>
      </c>
      <c r="J209" s="113" t="s">
        <v>30</v>
      </c>
      <c r="K209" s="114" t="s">
        <v>506</v>
      </c>
      <c r="L209" s="115" t="s">
        <v>28</v>
      </c>
      <c r="M209" s="107" t="s">
        <v>33</v>
      </c>
    </row>
    <row r="210" spans="1:13" s="116" customFormat="1" ht="79.5" customHeight="1">
      <c r="A210" s="105" t="str">
        <f t="shared" si="3"/>
        <v>17EB0083WARRANTY BOND</v>
      </c>
      <c r="B210" s="106">
        <v>187</v>
      </c>
      <c r="C210" s="119" t="s">
        <v>507</v>
      </c>
      <c r="D210" s="108" t="s">
        <v>508</v>
      </c>
      <c r="E210" s="109" t="s">
        <v>509</v>
      </c>
      <c r="F210" s="110">
        <v>14692991.449999999</v>
      </c>
      <c r="G210" s="111">
        <v>44858</v>
      </c>
      <c r="H210" s="111">
        <v>43528</v>
      </c>
      <c r="I210" s="111">
        <v>43894</v>
      </c>
      <c r="J210" s="113" t="s">
        <v>30</v>
      </c>
      <c r="K210" s="114" t="s">
        <v>510</v>
      </c>
      <c r="L210" s="115" t="s">
        <v>28</v>
      </c>
      <c r="M210" s="107" t="s">
        <v>37</v>
      </c>
    </row>
    <row r="211" spans="1:13" s="116" customFormat="1" ht="79.5" customHeight="1">
      <c r="A211" s="105" t="str">
        <f t="shared" si="3"/>
        <v>17EB0059-R1WARRANTY BOND</v>
      </c>
      <c r="B211" s="106">
        <v>187</v>
      </c>
      <c r="C211" s="119" t="s">
        <v>507</v>
      </c>
      <c r="D211" s="108" t="s">
        <v>511</v>
      </c>
      <c r="E211" s="109" t="s">
        <v>512</v>
      </c>
      <c r="F211" s="110">
        <v>10502750.43</v>
      </c>
      <c r="G211" s="111">
        <v>44858</v>
      </c>
      <c r="H211" s="111">
        <v>43656</v>
      </c>
      <c r="I211" s="111">
        <v>44022</v>
      </c>
      <c r="J211" s="113" t="s">
        <v>30</v>
      </c>
      <c r="K211" s="114" t="s">
        <v>513</v>
      </c>
      <c r="L211" s="115" t="s">
        <v>28</v>
      </c>
      <c r="M211" s="107" t="s">
        <v>37</v>
      </c>
    </row>
    <row r="212" spans="1:13" ht="81" customHeight="1">
      <c r="A212" s="96" t="str">
        <f t="shared" si="3"/>
        <v>22EB0058RETENTION BOND</v>
      </c>
      <c r="B212" s="106">
        <v>199</v>
      </c>
      <c r="C212" s="42" t="s">
        <v>68</v>
      </c>
      <c r="D212" s="36" t="s">
        <v>514</v>
      </c>
      <c r="E212" s="37" t="s">
        <v>515</v>
      </c>
      <c r="F212" s="38">
        <v>494823.03</v>
      </c>
      <c r="G212" s="39">
        <v>44851</v>
      </c>
      <c r="H212" s="39">
        <v>44851</v>
      </c>
      <c r="I212" s="39">
        <v>45216</v>
      </c>
      <c r="J212" s="83" t="s">
        <v>30</v>
      </c>
      <c r="K212" s="40" t="s">
        <v>516</v>
      </c>
      <c r="L212" s="41" t="s">
        <v>69</v>
      </c>
      <c r="M212" s="35" t="s">
        <v>33</v>
      </c>
    </row>
    <row r="213" spans="1:13" ht="81" customHeight="1">
      <c r="A213" s="96" t="str">
        <f t="shared" si="3"/>
        <v>22EB0032RETENTION BOND</v>
      </c>
      <c r="B213" s="106">
        <v>199</v>
      </c>
      <c r="C213" s="42" t="s">
        <v>44</v>
      </c>
      <c r="D213" s="36" t="s">
        <v>122</v>
      </c>
      <c r="E213" s="37" t="s">
        <v>517</v>
      </c>
      <c r="F213" s="38">
        <v>3063815.77</v>
      </c>
      <c r="G213" s="39">
        <v>44851</v>
      </c>
      <c r="H213" s="39">
        <v>44851</v>
      </c>
      <c r="I213" s="39">
        <v>45216</v>
      </c>
      <c r="J213" s="83" t="s">
        <v>30</v>
      </c>
      <c r="K213" s="40" t="s">
        <v>518</v>
      </c>
      <c r="L213" s="41" t="s">
        <v>69</v>
      </c>
      <c r="M213" s="35" t="s">
        <v>33</v>
      </c>
    </row>
    <row r="214" spans="1:13" customFormat="1" ht="105.75" customHeight="1">
      <c r="A214" s="97"/>
      <c r="B214" s="43"/>
      <c r="C214" s="44"/>
      <c r="D214" s="45"/>
      <c r="E214" s="46"/>
      <c r="F214" s="47"/>
      <c r="G214" s="48"/>
      <c r="H214" s="84"/>
      <c r="I214" s="84"/>
      <c r="J214" s="85"/>
      <c r="K214" s="49"/>
      <c r="L214" s="50"/>
      <c r="M214" s="44"/>
    </row>
    <row r="215" spans="1:13" s="53" customFormat="1" ht="32.25">
      <c r="A215" s="98"/>
      <c r="B215" s="51"/>
      <c r="C215" s="52" t="s">
        <v>46</v>
      </c>
      <c r="D215" s="51"/>
      <c r="E215" s="51"/>
      <c r="F215" s="51"/>
      <c r="G215" s="51"/>
      <c r="H215" s="92"/>
      <c r="I215" s="92"/>
      <c r="J215" s="86"/>
      <c r="K215" s="51"/>
      <c r="L215" s="51"/>
      <c r="M215" s="51"/>
    </row>
    <row r="216" spans="1:13" s="53" customFormat="1" ht="14.25">
      <c r="A216" s="98"/>
      <c r="B216" s="51"/>
      <c r="C216" s="51"/>
      <c r="D216" s="51"/>
      <c r="E216" s="51"/>
      <c r="F216" s="51"/>
      <c r="G216" s="51"/>
      <c r="H216" s="92"/>
      <c r="I216" s="92"/>
      <c r="J216" s="86"/>
      <c r="K216" s="51"/>
      <c r="L216" s="51"/>
      <c r="M216" s="51"/>
    </row>
    <row r="217" spans="1:13" s="53" customFormat="1" ht="34.5">
      <c r="A217" s="99"/>
      <c r="B217" s="51"/>
      <c r="C217" s="54"/>
      <c r="D217" s="54" t="s">
        <v>47</v>
      </c>
      <c r="E217" s="55"/>
      <c r="F217" s="51"/>
      <c r="G217" s="51"/>
      <c r="H217" s="92"/>
      <c r="I217" s="92"/>
      <c r="J217" s="86"/>
      <c r="K217" s="51"/>
      <c r="L217" s="51"/>
      <c r="M217" s="51"/>
    </row>
    <row r="218" spans="1:13" s="53" customFormat="1" ht="34.5">
      <c r="A218" s="100"/>
      <c r="B218" s="51"/>
      <c r="C218" s="56"/>
      <c r="D218" s="56" t="s">
        <v>48</v>
      </c>
      <c r="E218" s="55"/>
      <c r="F218" s="51"/>
      <c r="G218" s="51"/>
      <c r="H218" s="92"/>
      <c r="I218" s="92"/>
      <c r="J218" s="86"/>
      <c r="K218" s="51"/>
      <c r="L218" s="51"/>
      <c r="M218" s="51"/>
    </row>
    <row r="219" spans="1:13" customFormat="1">
      <c r="A219" s="101"/>
      <c r="H219" s="93"/>
      <c r="I219" s="93"/>
      <c r="J219" s="87"/>
    </row>
    <row r="220" spans="1:13" customFormat="1">
      <c r="A220" s="101"/>
      <c r="H220" s="93"/>
      <c r="I220" s="93"/>
      <c r="J220" s="87"/>
    </row>
    <row r="221" spans="1:13" customFormat="1">
      <c r="A221" s="101"/>
      <c r="H221" s="93"/>
      <c r="I221" s="93"/>
      <c r="J221" s="87"/>
    </row>
  </sheetData>
  <mergeCells count="16">
    <mergeCell ref="B10:M10"/>
    <mergeCell ref="AE10:AR10"/>
    <mergeCell ref="AE11:AR11"/>
    <mergeCell ref="B5:M5"/>
    <mergeCell ref="AE5:AR5"/>
    <mergeCell ref="B6:M6"/>
    <mergeCell ref="AE6:AR6"/>
    <mergeCell ref="AE7:AR7"/>
    <mergeCell ref="B9:M9"/>
    <mergeCell ref="B4:M4"/>
    <mergeCell ref="AE4:AR4"/>
    <mergeCell ref="B1:M1"/>
    <mergeCell ref="B2:M2"/>
    <mergeCell ref="AE2:AR2"/>
    <mergeCell ref="B3:M3"/>
    <mergeCell ref="AE3:AR3"/>
  </mergeCells>
  <pageMargins left="0.25" right="0.25" top="0.28000000000000003" bottom="0.22" header="0.3" footer="0.3"/>
  <pageSetup paperSize="14" scale="32" fitToHeight="0" orientation="landscape" r:id="rId1"/>
  <rowBreaks count="1" manualBreakCount="1">
    <brk id="199" min="1" max="14"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AR226"/>
  <sheetViews>
    <sheetView view="pageBreakPreview" topLeftCell="B210" zoomScale="55" zoomScaleNormal="100" zoomScaleSheetLayoutView="55" workbookViewId="0">
      <selection activeCell="E216" sqref="E216"/>
    </sheetView>
  </sheetViews>
  <sheetFormatPr defaultRowHeight="15"/>
  <cols>
    <col min="1" max="1" width="28" style="102" customWidth="1"/>
    <col min="2" max="2" width="9.140625" style="28"/>
    <col min="3" max="3" width="36.140625" style="28" customWidth="1"/>
    <col min="4" max="4" width="22" style="28" customWidth="1"/>
    <col min="5" max="5" width="105" style="28" customWidth="1"/>
    <col min="6" max="6" width="63" style="28" customWidth="1"/>
    <col min="7" max="7" width="31.7109375" style="29" customWidth="1"/>
    <col min="8" max="8" width="39.7109375" style="93" customWidth="1"/>
    <col min="9" max="9" width="54.140625" style="93" customWidth="1"/>
    <col min="10" max="10" width="18.42578125" style="87" customWidth="1"/>
    <col min="11" max="11" width="36.7109375" style="28" customWidth="1"/>
    <col min="12" max="12" width="39.85546875" style="28" customWidth="1"/>
    <col min="13" max="14" width="29.5703125" style="28" customWidth="1"/>
    <col min="15" max="16384" width="9.140625" style="28"/>
  </cols>
  <sheetData>
    <row r="1" spans="1:44" s="18" customFormat="1" ht="32.25">
      <c r="A1" s="94"/>
      <c r="B1" s="226" t="s">
        <v>6</v>
      </c>
      <c r="C1" s="226"/>
      <c r="D1" s="226"/>
      <c r="E1" s="226"/>
      <c r="F1" s="226"/>
      <c r="G1" s="226"/>
      <c r="H1" s="226"/>
      <c r="I1" s="226"/>
      <c r="J1" s="226"/>
      <c r="K1" s="226"/>
      <c r="L1" s="226"/>
      <c r="M1" s="226"/>
    </row>
    <row r="2" spans="1:44" s="18" customFormat="1" ht="32.25">
      <c r="A2" s="94"/>
      <c r="B2" s="226" t="s">
        <v>5</v>
      </c>
      <c r="C2" s="226"/>
      <c r="D2" s="226"/>
      <c r="E2" s="226"/>
      <c r="F2" s="226"/>
      <c r="G2" s="226"/>
      <c r="H2" s="226"/>
      <c r="I2" s="226"/>
      <c r="J2" s="226"/>
      <c r="K2" s="226"/>
      <c r="L2" s="226"/>
      <c r="M2" s="226"/>
      <c r="N2" s="19"/>
      <c r="O2" s="19"/>
      <c r="P2" s="19"/>
      <c r="Q2" s="19"/>
      <c r="R2" s="19"/>
      <c r="S2" s="19"/>
      <c r="T2" s="19"/>
      <c r="AE2" s="226"/>
      <c r="AF2" s="226"/>
      <c r="AG2" s="226"/>
      <c r="AH2" s="226"/>
      <c r="AI2" s="226"/>
      <c r="AJ2" s="226"/>
      <c r="AK2" s="226"/>
      <c r="AL2" s="226"/>
      <c r="AM2" s="226"/>
      <c r="AN2" s="226"/>
      <c r="AO2" s="226"/>
      <c r="AP2" s="226"/>
      <c r="AQ2" s="226"/>
      <c r="AR2" s="226"/>
    </row>
    <row r="3" spans="1:44" s="18" customFormat="1" ht="32.25">
      <c r="A3" s="94"/>
      <c r="B3" s="225" t="s">
        <v>4</v>
      </c>
      <c r="C3" s="225"/>
      <c r="D3" s="225"/>
      <c r="E3" s="225"/>
      <c r="F3" s="225"/>
      <c r="G3" s="225"/>
      <c r="H3" s="225"/>
      <c r="I3" s="225"/>
      <c r="J3" s="225"/>
      <c r="K3" s="225"/>
      <c r="L3" s="225"/>
      <c r="M3" s="225"/>
      <c r="N3" s="19"/>
      <c r="O3" s="19"/>
      <c r="P3" s="19"/>
      <c r="Q3" s="19"/>
      <c r="R3" s="19"/>
      <c r="S3" s="19"/>
      <c r="T3" s="19"/>
      <c r="AE3" s="226"/>
      <c r="AF3" s="226"/>
      <c r="AG3" s="226"/>
      <c r="AH3" s="226"/>
      <c r="AI3" s="226"/>
      <c r="AJ3" s="226"/>
      <c r="AK3" s="226"/>
      <c r="AL3" s="226"/>
      <c r="AM3" s="226"/>
      <c r="AN3" s="226"/>
      <c r="AO3" s="226"/>
      <c r="AP3" s="226"/>
      <c r="AQ3" s="226"/>
      <c r="AR3" s="226"/>
    </row>
    <row r="4" spans="1:44" s="18" customFormat="1" ht="32.25">
      <c r="A4" s="94"/>
      <c r="B4" s="225" t="s">
        <v>3</v>
      </c>
      <c r="C4" s="225"/>
      <c r="D4" s="225"/>
      <c r="E4" s="225"/>
      <c r="F4" s="225"/>
      <c r="G4" s="225"/>
      <c r="H4" s="225"/>
      <c r="I4" s="225"/>
      <c r="J4" s="225"/>
      <c r="K4" s="225"/>
      <c r="L4" s="225"/>
      <c r="M4" s="225"/>
      <c r="N4" s="20"/>
      <c r="O4" s="20"/>
      <c r="P4" s="20"/>
      <c r="Q4" s="20"/>
      <c r="R4" s="20"/>
      <c r="S4" s="20"/>
      <c r="T4" s="20"/>
      <c r="AE4" s="225"/>
      <c r="AF4" s="225"/>
      <c r="AG4" s="225"/>
      <c r="AH4" s="225"/>
      <c r="AI4" s="225"/>
      <c r="AJ4" s="225"/>
      <c r="AK4" s="225"/>
      <c r="AL4" s="225"/>
      <c r="AM4" s="225"/>
      <c r="AN4" s="225"/>
      <c r="AO4" s="225"/>
      <c r="AP4" s="225"/>
      <c r="AQ4" s="225"/>
      <c r="AR4" s="225"/>
    </row>
    <row r="5" spans="1:44" s="18" customFormat="1" ht="32.25">
      <c r="A5" s="94"/>
      <c r="B5" s="226" t="s">
        <v>2</v>
      </c>
      <c r="C5" s="226"/>
      <c r="D5" s="226"/>
      <c r="E5" s="226"/>
      <c r="F5" s="226"/>
      <c r="G5" s="226"/>
      <c r="H5" s="226"/>
      <c r="I5" s="226"/>
      <c r="J5" s="226"/>
      <c r="K5" s="226"/>
      <c r="L5" s="226"/>
      <c r="M5" s="226"/>
      <c r="N5" s="20"/>
      <c r="O5" s="20"/>
      <c r="P5" s="20"/>
      <c r="Q5" s="20"/>
      <c r="R5" s="20"/>
      <c r="S5" s="20"/>
      <c r="T5" s="20"/>
      <c r="AE5" s="225"/>
      <c r="AF5" s="225"/>
      <c r="AG5" s="225"/>
      <c r="AH5" s="225"/>
      <c r="AI5" s="225"/>
      <c r="AJ5" s="225"/>
      <c r="AK5" s="225"/>
      <c r="AL5" s="225"/>
      <c r="AM5" s="225"/>
      <c r="AN5" s="225"/>
      <c r="AO5" s="225"/>
      <c r="AP5" s="225"/>
      <c r="AQ5" s="225"/>
      <c r="AR5" s="225"/>
    </row>
    <row r="6" spans="1:44" s="18" customFormat="1" ht="32.25">
      <c r="A6" s="94"/>
      <c r="B6" s="226" t="s">
        <v>1</v>
      </c>
      <c r="C6" s="226"/>
      <c r="D6" s="226"/>
      <c r="E6" s="226"/>
      <c r="F6" s="226"/>
      <c r="G6" s="226"/>
      <c r="H6" s="226"/>
      <c r="I6" s="226"/>
      <c r="J6" s="226"/>
      <c r="K6" s="226"/>
      <c r="L6" s="226"/>
      <c r="M6" s="226"/>
      <c r="N6" s="20"/>
      <c r="O6" s="20"/>
      <c r="P6" s="20"/>
      <c r="Q6" s="20"/>
      <c r="R6" s="20"/>
      <c r="S6" s="20"/>
      <c r="T6" s="20"/>
      <c r="AE6" s="226"/>
      <c r="AF6" s="226"/>
      <c r="AG6" s="226"/>
      <c r="AH6" s="226"/>
      <c r="AI6" s="226"/>
      <c r="AJ6" s="226"/>
      <c r="AK6" s="226"/>
      <c r="AL6" s="226"/>
      <c r="AM6" s="226"/>
      <c r="AN6" s="226"/>
      <c r="AO6" s="226"/>
      <c r="AP6" s="226"/>
      <c r="AQ6" s="226"/>
      <c r="AR6" s="226"/>
    </row>
    <row r="7" spans="1:44" s="18" customFormat="1" ht="32.25">
      <c r="A7" s="94"/>
      <c r="B7" s="21"/>
      <c r="C7" s="155"/>
      <c r="D7" s="21"/>
      <c r="E7" s="155"/>
      <c r="F7" s="155"/>
      <c r="G7" s="155"/>
      <c r="H7" s="88"/>
      <c r="I7" s="88"/>
      <c r="J7" s="80"/>
      <c r="K7" s="58"/>
      <c r="L7" s="58"/>
      <c r="M7" s="155"/>
      <c r="N7" s="20"/>
      <c r="O7" s="20"/>
      <c r="P7" s="20"/>
      <c r="Q7" s="20"/>
      <c r="R7" s="20"/>
      <c r="S7" s="20"/>
      <c r="T7" s="20"/>
      <c r="AE7" s="226"/>
      <c r="AF7" s="226"/>
      <c r="AG7" s="226"/>
      <c r="AH7" s="226"/>
      <c r="AI7" s="226"/>
      <c r="AJ7" s="226"/>
      <c r="AK7" s="226"/>
      <c r="AL7" s="226"/>
      <c r="AM7" s="226"/>
      <c r="AN7" s="226"/>
      <c r="AO7" s="226"/>
      <c r="AP7" s="226"/>
      <c r="AQ7" s="226"/>
      <c r="AR7" s="226"/>
    </row>
    <row r="8" spans="1:44" s="18" customFormat="1" ht="32.25">
      <c r="A8" s="94"/>
      <c r="B8" s="21"/>
      <c r="C8" s="155"/>
      <c r="D8" s="21"/>
      <c r="E8" s="155"/>
      <c r="F8" s="155"/>
      <c r="G8" s="155"/>
      <c r="H8" s="88"/>
      <c r="I8" s="88"/>
      <c r="J8" s="80"/>
      <c r="K8" s="58"/>
      <c r="L8" s="58"/>
      <c r="M8" s="155"/>
      <c r="N8" s="23"/>
      <c r="O8" s="23"/>
      <c r="P8" s="23"/>
      <c r="Q8" s="23"/>
      <c r="R8" s="23"/>
      <c r="S8" s="23"/>
      <c r="T8" s="23"/>
      <c r="AE8" s="21"/>
      <c r="AF8" s="155"/>
      <c r="AG8" s="21"/>
      <c r="AH8" s="155"/>
      <c r="AI8" s="155"/>
      <c r="AJ8" s="155"/>
      <c r="AK8" s="155"/>
      <c r="AL8" s="155"/>
      <c r="AM8" s="58"/>
      <c r="AN8" s="58"/>
      <c r="AO8" s="58"/>
      <c r="AP8" s="155"/>
      <c r="AQ8" s="155"/>
      <c r="AR8" s="155"/>
    </row>
    <row r="9" spans="1:44" s="25" customFormat="1" ht="32.25">
      <c r="A9" s="94"/>
      <c r="B9" s="225" t="s">
        <v>13</v>
      </c>
      <c r="C9" s="225"/>
      <c r="D9" s="225"/>
      <c r="E9" s="225"/>
      <c r="F9" s="225"/>
      <c r="G9" s="225"/>
      <c r="H9" s="225"/>
      <c r="I9" s="225"/>
      <c r="J9" s="225"/>
      <c r="K9" s="225"/>
      <c r="L9" s="225"/>
      <c r="M9" s="225"/>
      <c r="N9" s="24"/>
      <c r="O9" s="24"/>
      <c r="P9" s="24"/>
      <c r="Q9" s="24"/>
      <c r="R9" s="24"/>
      <c r="S9" s="24"/>
      <c r="T9" s="24"/>
      <c r="AE9" s="21"/>
      <c r="AF9" s="155"/>
      <c r="AG9" s="21"/>
      <c r="AH9" s="155"/>
      <c r="AI9" s="155"/>
      <c r="AJ9" s="155"/>
      <c r="AK9" s="155"/>
      <c r="AL9" s="155"/>
      <c r="AM9" s="58"/>
      <c r="AN9" s="58"/>
      <c r="AO9" s="58"/>
      <c r="AP9" s="155"/>
      <c r="AQ9" s="155"/>
      <c r="AR9" s="155"/>
    </row>
    <row r="10" spans="1:44" s="25" customFormat="1" ht="32.25">
      <c r="A10" s="94"/>
      <c r="B10" s="225" t="s">
        <v>14</v>
      </c>
      <c r="C10" s="225"/>
      <c r="D10" s="225"/>
      <c r="E10" s="225"/>
      <c r="F10" s="225"/>
      <c r="G10" s="225"/>
      <c r="H10" s="225"/>
      <c r="I10" s="225"/>
      <c r="J10" s="225"/>
      <c r="K10" s="225"/>
      <c r="L10" s="225"/>
      <c r="M10" s="225"/>
      <c r="N10" s="24"/>
      <c r="O10" s="24"/>
      <c r="P10" s="24"/>
      <c r="Q10" s="24"/>
      <c r="R10" s="24"/>
      <c r="S10" s="24"/>
      <c r="T10" s="24"/>
      <c r="AE10" s="225"/>
      <c r="AF10" s="225"/>
      <c r="AG10" s="225"/>
      <c r="AH10" s="225"/>
      <c r="AI10" s="225"/>
      <c r="AJ10" s="225"/>
      <c r="AK10" s="225"/>
      <c r="AL10" s="225"/>
      <c r="AM10" s="225"/>
      <c r="AN10" s="225"/>
      <c r="AO10" s="225"/>
      <c r="AP10" s="225"/>
      <c r="AQ10" s="225"/>
      <c r="AR10" s="225"/>
    </row>
    <row r="11" spans="1:44" s="18" customFormat="1" ht="14.25" customHeight="1">
      <c r="A11" s="94"/>
      <c r="B11" s="60"/>
      <c r="C11" s="60"/>
      <c r="D11" s="60"/>
      <c r="E11" s="60"/>
      <c r="F11" s="60"/>
      <c r="G11" s="60"/>
      <c r="H11" s="89"/>
      <c r="I11" s="89"/>
      <c r="J11" s="81"/>
      <c r="K11" s="60"/>
      <c r="L11" s="60"/>
      <c r="M11" s="60"/>
      <c r="N11" s="19"/>
      <c r="O11" s="19"/>
      <c r="P11" s="19"/>
      <c r="Q11" s="19"/>
      <c r="R11" s="19"/>
      <c r="S11" s="19"/>
      <c r="T11" s="19"/>
      <c r="AE11" s="225"/>
      <c r="AF11" s="225"/>
      <c r="AG11" s="225"/>
      <c r="AH11" s="225"/>
      <c r="AI11" s="225"/>
      <c r="AJ11" s="225"/>
      <c r="AK11" s="225"/>
      <c r="AL11" s="225"/>
      <c r="AM11" s="225"/>
      <c r="AN11" s="225"/>
      <c r="AO11" s="225"/>
      <c r="AP11" s="225"/>
      <c r="AQ11" s="225"/>
      <c r="AR11" s="225"/>
    </row>
    <row r="12" spans="1:44" ht="15.75" customHeight="1" thickBot="1">
      <c r="A12" s="94"/>
      <c r="B12" s="60"/>
      <c r="C12" s="60"/>
      <c r="D12" s="60"/>
      <c r="E12" s="60"/>
      <c r="F12" s="60"/>
      <c r="G12" s="60"/>
      <c r="H12" s="89"/>
      <c r="I12" s="89"/>
      <c r="J12" s="81"/>
      <c r="K12" s="60"/>
      <c r="L12" s="60"/>
      <c r="M12" s="60"/>
      <c r="AE12" s="26"/>
      <c r="AF12" s="27"/>
      <c r="AG12" s="26"/>
      <c r="AH12" s="27"/>
      <c r="AI12" s="27"/>
      <c r="AJ12" s="27"/>
      <c r="AK12" s="27"/>
      <c r="AL12" s="27"/>
      <c r="AM12" s="59"/>
      <c r="AN12" s="59"/>
      <c r="AO12" s="59"/>
      <c r="AP12" s="27"/>
      <c r="AQ12" s="27"/>
      <c r="AR12" s="27"/>
    </row>
    <row r="13" spans="1:44" s="34" customFormat="1" ht="87" customHeight="1" thickBot="1">
      <c r="A13" s="95"/>
      <c r="B13" s="61" t="s">
        <v>15</v>
      </c>
      <c r="C13" s="30" t="s">
        <v>16</v>
      </c>
      <c r="D13" s="31" t="s">
        <v>17</v>
      </c>
      <c r="E13" s="31" t="s">
        <v>18</v>
      </c>
      <c r="F13" s="32" t="s">
        <v>19</v>
      </c>
      <c r="G13" s="30" t="s">
        <v>20</v>
      </c>
      <c r="H13" s="90" t="s">
        <v>21</v>
      </c>
      <c r="I13" s="91" t="s">
        <v>22</v>
      </c>
      <c r="J13" s="82" t="s">
        <v>23</v>
      </c>
      <c r="K13" s="31" t="s">
        <v>24</v>
      </c>
      <c r="L13" s="31" t="s">
        <v>25</v>
      </c>
      <c r="M13" s="33" t="s">
        <v>26</v>
      </c>
      <c r="AE13" s="28"/>
      <c r="AF13" s="28"/>
      <c r="AG13" s="28"/>
      <c r="AH13" s="28"/>
      <c r="AI13" s="28"/>
      <c r="AJ13" s="28"/>
      <c r="AK13" s="28"/>
      <c r="AL13" s="29"/>
      <c r="AM13" s="57"/>
      <c r="AN13" s="57"/>
      <c r="AO13" s="57"/>
      <c r="AP13" s="28"/>
      <c r="AQ13" s="28"/>
      <c r="AR13" s="28"/>
    </row>
    <row r="14" spans="1:44" ht="102" customHeight="1">
      <c r="A14" s="96" t="str">
        <f t="shared" ref="A14:A43" si="0">D14&amp;M14</f>
        <v>22EB0019-R1RETENTION BOND</v>
      </c>
      <c r="B14" s="136">
        <v>1</v>
      </c>
      <c r="C14" s="42" t="s">
        <v>358</v>
      </c>
      <c r="D14" s="36" t="s">
        <v>359</v>
      </c>
      <c r="E14" s="37" t="s">
        <v>360</v>
      </c>
      <c r="F14" s="38">
        <v>1451595.58</v>
      </c>
      <c r="G14" s="39">
        <v>44914</v>
      </c>
      <c r="H14" s="39">
        <v>44914</v>
      </c>
      <c r="I14" s="39">
        <v>45279</v>
      </c>
      <c r="J14" s="83" t="s">
        <v>30</v>
      </c>
      <c r="K14" s="40" t="s">
        <v>653</v>
      </c>
      <c r="L14" s="41" t="s">
        <v>32</v>
      </c>
      <c r="M14" s="35" t="s">
        <v>33</v>
      </c>
    </row>
    <row r="15" spans="1:44" ht="102" customHeight="1">
      <c r="A15" s="96" t="str">
        <f>D15&amp;M15</f>
        <v>22EB0085RETENTION BOND</v>
      </c>
      <c r="B15" s="136">
        <v>2</v>
      </c>
      <c r="C15" s="42" t="s">
        <v>43</v>
      </c>
      <c r="D15" s="36" t="s">
        <v>148</v>
      </c>
      <c r="E15" s="37" t="s">
        <v>149</v>
      </c>
      <c r="F15" s="38">
        <v>685903.61</v>
      </c>
      <c r="G15" s="39">
        <v>44915</v>
      </c>
      <c r="H15" s="39">
        <v>44915</v>
      </c>
      <c r="I15" s="39">
        <v>45280</v>
      </c>
      <c r="J15" s="83" t="s">
        <v>30</v>
      </c>
      <c r="K15" s="40" t="s">
        <v>654</v>
      </c>
      <c r="L15" s="41" t="s">
        <v>32</v>
      </c>
      <c r="M15" s="35" t="s">
        <v>33</v>
      </c>
    </row>
    <row r="16" spans="1:44" ht="102" customHeight="1">
      <c r="A16" s="96" t="str">
        <f t="shared" si="0"/>
        <v>22EB0059RETENTION BOND</v>
      </c>
      <c r="B16" s="136">
        <v>3</v>
      </c>
      <c r="C16" s="42" t="s">
        <v>655</v>
      </c>
      <c r="D16" s="36" t="s">
        <v>656</v>
      </c>
      <c r="E16" s="37" t="s">
        <v>657</v>
      </c>
      <c r="F16" s="38">
        <v>494861.85</v>
      </c>
      <c r="G16" s="39">
        <v>44914</v>
      </c>
      <c r="H16" s="39">
        <v>44914</v>
      </c>
      <c r="I16" s="39">
        <v>45279</v>
      </c>
      <c r="J16" s="83" t="s">
        <v>30</v>
      </c>
      <c r="K16" s="40" t="s">
        <v>658</v>
      </c>
      <c r="L16" s="41" t="s">
        <v>32</v>
      </c>
      <c r="M16" s="35" t="s">
        <v>33</v>
      </c>
    </row>
    <row r="17" spans="1:13" ht="102" customHeight="1">
      <c r="A17" s="96" t="str">
        <f>D17&amp;M17</f>
        <v>22EB0065RETENTION BOND</v>
      </c>
      <c r="B17" s="136">
        <v>4</v>
      </c>
      <c r="C17" s="42" t="s">
        <v>81</v>
      </c>
      <c r="D17" s="36" t="s">
        <v>450</v>
      </c>
      <c r="E17" s="37" t="s">
        <v>762</v>
      </c>
      <c r="F17" s="38">
        <v>692890.77</v>
      </c>
      <c r="G17" s="39">
        <v>44893</v>
      </c>
      <c r="H17" s="39">
        <v>44893</v>
      </c>
      <c r="I17" s="39">
        <v>45258</v>
      </c>
      <c r="J17" s="83" t="s">
        <v>30</v>
      </c>
      <c r="K17" s="40" t="s">
        <v>550</v>
      </c>
      <c r="L17" s="41" t="s">
        <v>28</v>
      </c>
      <c r="M17" s="35" t="s">
        <v>33</v>
      </c>
    </row>
    <row r="18" spans="1:13" ht="102" customHeight="1">
      <c r="A18" s="96" t="str">
        <f>D18&amp;M18</f>
        <v>22EB0053RETENTION BOND</v>
      </c>
      <c r="B18" s="136">
        <v>5</v>
      </c>
      <c r="C18" s="42" t="s">
        <v>659</v>
      </c>
      <c r="D18" s="36" t="s">
        <v>660</v>
      </c>
      <c r="E18" s="37" t="s">
        <v>661</v>
      </c>
      <c r="F18" s="38">
        <v>2255979</v>
      </c>
      <c r="G18" s="39">
        <v>44888</v>
      </c>
      <c r="H18" s="39">
        <v>44888</v>
      </c>
      <c r="I18" s="39">
        <v>45253</v>
      </c>
      <c r="J18" s="83" t="s">
        <v>30</v>
      </c>
      <c r="K18" s="40" t="s">
        <v>662</v>
      </c>
      <c r="L18" s="41" t="s">
        <v>35</v>
      </c>
      <c r="M18" s="35" t="s">
        <v>33</v>
      </c>
    </row>
    <row r="19" spans="1:13" s="43" customFormat="1" ht="102" customHeight="1">
      <c r="A19" s="96" t="str">
        <f t="shared" si="0"/>
        <v>20EB0133RETENTION BOND</v>
      </c>
      <c r="B19" s="136">
        <v>6</v>
      </c>
      <c r="C19" s="42" t="s">
        <v>663</v>
      </c>
      <c r="D19" s="36" t="s">
        <v>664</v>
      </c>
      <c r="E19" s="37" t="s">
        <v>665</v>
      </c>
      <c r="F19" s="38">
        <v>1335264</v>
      </c>
      <c r="G19" s="39">
        <v>44850</v>
      </c>
      <c r="H19" s="39">
        <v>44850</v>
      </c>
      <c r="I19" s="39">
        <v>45215</v>
      </c>
      <c r="J19" s="83" t="s">
        <v>30</v>
      </c>
      <c r="K19" s="40" t="s">
        <v>666</v>
      </c>
      <c r="L19" s="41" t="s">
        <v>69</v>
      </c>
      <c r="M19" s="35" t="s">
        <v>33</v>
      </c>
    </row>
    <row r="20" spans="1:13" s="43" customFormat="1" ht="102" customHeight="1">
      <c r="A20" s="96" t="str">
        <f t="shared" si="0"/>
        <v>22EB0109RETENTION BOND</v>
      </c>
      <c r="B20" s="136">
        <v>7</v>
      </c>
      <c r="C20" s="42" t="s">
        <v>44</v>
      </c>
      <c r="D20" s="36" t="s">
        <v>461</v>
      </c>
      <c r="E20" s="37" t="s">
        <v>667</v>
      </c>
      <c r="F20" s="38">
        <v>131502.38</v>
      </c>
      <c r="G20" s="39">
        <v>44911</v>
      </c>
      <c r="H20" s="39">
        <v>44911</v>
      </c>
      <c r="I20" s="39">
        <v>45276</v>
      </c>
      <c r="J20" s="83" t="s">
        <v>30</v>
      </c>
      <c r="K20" s="40" t="s">
        <v>668</v>
      </c>
      <c r="L20" s="41" t="s">
        <v>69</v>
      </c>
      <c r="M20" s="35" t="s">
        <v>33</v>
      </c>
    </row>
    <row r="21" spans="1:13" s="43" customFormat="1" ht="102" customHeight="1">
      <c r="A21" s="96" t="str">
        <f t="shared" si="0"/>
        <v>22EB0092RETENTION BOND</v>
      </c>
      <c r="B21" s="136">
        <v>8</v>
      </c>
      <c r="C21" s="42" t="s">
        <v>38</v>
      </c>
      <c r="D21" s="36" t="s">
        <v>669</v>
      </c>
      <c r="E21" s="37" t="s">
        <v>670</v>
      </c>
      <c r="F21" s="38">
        <v>2572741</v>
      </c>
      <c r="G21" s="39">
        <v>44923</v>
      </c>
      <c r="H21" s="39">
        <v>44923</v>
      </c>
      <c r="I21" s="39">
        <v>45288</v>
      </c>
      <c r="J21" s="83" t="s">
        <v>30</v>
      </c>
      <c r="K21" s="40" t="s">
        <v>671</v>
      </c>
      <c r="L21" s="41" t="s">
        <v>35</v>
      </c>
      <c r="M21" s="35" t="s">
        <v>33</v>
      </c>
    </row>
    <row r="22" spans="1:13" s="43" customFormat="1" ht="102" customHeight="1">
      <c r="A22" s="96" t="str">
        <f t="shared" si="0"/>
        <v>22EB0104RETENTION BOND</v>
      </c>
      <c r="B22" s="136">
        <v>9</v>
      </c>
      <c r="C22" s="42" t="s">
        <v>311</v>
      </c>
      <c r="D22" s="36" t="s">
        <v>312</v>
      </c>
      <c r="E22" s="37" t="s">
        <v>672</v>
      </c>
      <c r="F22" s="38">
        <v>1193625.5</v>
      </c>
      <c r="G22" s="39">
        <v>44923</v>
      </c>
      <c r="H22" s="39">
        <v>44923</v>
      </c>
      <c r="I22" s="39">
        <v>45288</v>
      </c>
      <c r="J22" s="83" t="s">
        <v>30</v>
      </c>
      <c r="K22" s="40" t="s">
        <v>673</v>
      </c>
      <c r="L22" s="41" t="s">
        <v>35</v>
      </c>
      <c r="M22" s="35" t="s">
        <v>33</v>
      </c>
    </row>
    <row r="23" spans="1:13" s="43" customFormat="1" ht="94.5" customHeight="1">
      <c r="A23" s="96" t="str">
        <f t="shared" si="0"/>
        <v>20EB0146WARRANTY BOND</v>
      </c>
      <c r="B23" s="136">
        <v>10</v>
      </c>
      <c r="C23" s="42" t="s">
        <v>674</v>
      </c>
      <c r="D23" s="36" t="s">
        <v>675</v>
      </c>
      <c r="E23" s="37" t="s">
        <v>676</v>
      </c>
      <c r="F23" s="38">
        <v>2979076.5</v>
      </c>
      <c r="G23" s="39">
        <v>44916</v>
      </c>
      <c r="H23" s="39">
        <v>44916</v>
      </c>
      <c r="I23" s="39">
        <v>45281</v>
      </c>
      <c r="J23" s="83" t="s">
        <v>30</v>
      </c>
      <c r="K23" s="40" t="s">
        <v>677</v>
      </c>
      <c r="L23" s="41" t="s">
        <v>35</v>
      </c>
      <c r="M23" s="35" t="s">
        <v>37</v>
      </c>
    </row>
    <row r="24" spans="1:13" s="43" customFormat="1" ht="119.25" customHeight="1">
      <c r="A24" s="96" t="str">
        <f>D24&amp;M24</f>
        <v>19EB0035WARRANTY BOND</v>
      </c>
      <c r="B24" s="136">
        <v>11</v>
      </c>
      <c r="C24" s="42" t="s">
        <v>227</v>
      </c>
      <c r="D24" s="36" t="s">
        <v>678</v>
      </c>
      <c r="E24" s="37" t="s">
        <v>679</v>
      </c>
      <c r="F24" s="38">
        <v>11759560.5</v>
      </c>
      <c r="G24" s="39">
        <v>44648</v>
      </c>
      <c r="H24" s="39">
        <v>44648</v>
      </c>
      <c r="I24" s="39">
        <v>45013</v>
      </c>
      <c r="J24" s="83" t="s">
        <v>30</v>
      </c>
      <c r="K24" s="40" t="s">
        <v>680</v>
      </c>
      <c r="L24" s="41" t="s">
        <v>35</v>
      </c>
      <c r="M24" s="35" t="s">
        <v>37</v>
      </c>
    </row>
    <row r="25" spans="1:13" s="43" customFormat="1" ht="104.25" customHeight="1">
      <c r="A25" s="96" t="str">
        <f>D25&amp;M25</f>
        <v>20EB0052WARRANTY BOND</v>
      </c>
      <c r="B25" s="136">
        <v>12</v>
      </c>
      <c r="C25" s="42" t="s">
        <v>227</v>
      </c>
      <c r="D25" s="36" t="s">
        <v>681</v>
      </c>
      <c r="E25" s="37" t="s">
        <v>682</v>
      </c>
      <c r="F25" s="38">
        <v>14699266.5</v>
      </c>
      <c r="G25" s="39">
        <v>44911</v>
      </c>
      <c r="H25" s="39">
        <v>44911</v>
      </c>
      <c r="I25" s="39">
        <v>45276</v>
      </c>
      <c r="J25" s="83" t="s">
        <v>30</v>
      </c>
      <c r="K25" s="40" t="s">
        <v>683</v>
      </c>
      <c r="L25" s="41" t="s">
        <v>35</v>
      </c>
      <c r="M25" s="35" t="s">
        <v>37</v>
      </c>
    </row>
    <row r="26" spans="1:13" s="43" customFormat="1" ht="102" customHeight="1">
      <c r="A26" s="96" t="str">
        <f t="shared" si="0"/>
        <v>19EB0049WARRANTY BOND</v>
      </c>
      <c r="B26" s="136">
        <v>13</v>
      </c>
      <c r="C26" s="42" t="s">
        <v>227</v>
      </c>
      <c r="D26" s="36" t="s">
        <v>684</v>
      </c>
      <c r="E26" s="37" t="s">
        <v>685</v>
      </c>
      <c r="F26" s="38">
        <v>11759044.5</v>
      </c>
      <c r="G26" s="39">
        <v>44611</v>
      </c>
      <c r="H26" s="39">
        <v>44976</v>
      </c>
      <c r="I26" s="39">
        <v>44976</v>
      </c>
      <c r="J26" s="83" t="s">
        <v>30</v>
      </c>
      <c r="K26" s="40" t="s">
        <v>686</v>
      </c>
      <c r="L26" s="41" t="s">
        <v>35</v>
      </c>
      <c r="M26" s="35" t="s">
        <v>37</v>
      </c>
    </row>
    <row r="27" spans="1:13" s="43" customFormat="1" ht="102" customHeight="1">
      <c r="A27" s="96" t="str">
        <f t="shared" si="0"/>
        <v>20EB0009WARRANTY BOND</v>
      </c>
      <c r="B27" s="136">
        <v>14</v>
      </c>
      <c r="C27" s="42" t="s">
        <v>227</v>
      </c>
      <c r="D27" s="36" t="s">
        <v>650</v>
      </c>
      <c r="E27" s="37" t="s">
        <v>651</v>
      </c>
      <c r="F27" s="38">
        <v>14698974</v>
      </c>
      <c r="G27" s="39">
        <v>44881</v>
      </c>
      <c r="H27" s="39">
        <v>44881</v>
      </c>
      <c r="I27" s="39">
        <v>45246</v>
      </c>
      <c r="J27" s="83" t="s">
        <v>30</v>
      </c>
      <c r="K27" s="40" t="s">
        <v>687</v>
      </c>
      <c r="L27" s="41" t="s">
        <v>35</v>
      </c>
      <c r="M27" s="35" t="s">
        <v>37</v>
      </c>
    </row>
    <row r="28" spans="1:13" s="43" customFormat="1" ht="102" customHeight="1">
      <c r="A28" s="96" t="str">
        <f t="shared" si="0"/>
        <v>19EB0046WARRANTY BOND</v>
      </c>
      <c r="B28" s="136">
        <v>15</v>
      </c>
      <c r="C28" s="42" t="s">
        <v>227</v>
      </c>
      <c r="D28" s="36" t="s">
        <v>688</v>
      </c>
      <c r="E28" s="37" t="s">
        <v>689</v>
      </c>
      <c r="F28" s="38">
        <v>11758667.5</v>
      </c>
      <c r="G28" s="39">
        <v>44412</v>
      </c>
      <c r="H28" s="39">
        <v>44412</v>
      </c>
      <c r="I28" s="39">
        <v>44777</v>
      </c>
      <c r="J28" s="83" t="s">
        <v>30</v>
      </c>
      <c r="K28" s="40" t="s">
        <v>690</v>
      </c>
      <c r="L28" s="41" t="s">
        <v>35</v>
      </c>
      <c r="M28" s="35" t="s">
        <v>37</v>
      </c>
    </row>
    <row r="29" spans="1:13" s="43" customFormat="1" ht="102" customHeight="1">
      <c r="A29" s="96" t="str">
        <f t="shared" si="0"/>
        <v>19EB0026WARRANTY BOND</v>
      </c>
      <c r="B29" s="136">
        <v>16</v>
      </c>
      <c r="C29" s="42" t="s">
        <v>227</v>
      </c>
      <c r="D29" s="36" t="s">
        <v>691</v>
      </c>
      <c r="E29" s="37" t="s">
        <v>692</v>
      </c>
      <c r="F29" s="38">
        <v>9792627</v>
      </c>
      <c r="G29" s="39">
        <v>44263</v>
      </c>
      <c r="H29" s="39">
        <v>44263</v>
      </c>
      <c r="I29" s="39">
        <v>44628</v>
      </c>
      <c r="J29" s="83" t="s">
        <v>30</v>
      </c>
      <c r="K29" s="40" t="s">
        <v>690</v>
      </c>
      <c r="L29" s="41" t="s">
        <v>35</v>
      </c>
      <c r="M29" s="35" t="s">
        <v>37</v>
      </c>
    </row>
    <row r="30" spans="1:13" s="43" customFormat="1" ht="102" customHeight="1">
      <c r="A30" s="96" t="str">
        <f t="shared" si="0"/>
        <v>20EB0010WARRANTY BOND</v>
      </c>
      <c r="B30" s="136">
        <v>17</v>
      </c>
      <c r="C30" s="42" t="s">
        <v>227</v>
      </c>
      <c r="D30" s="36" t="s">
        <v>693</v>
      </c>
      <c r="E30" s="37" t="s">
        <v>694</v>
      </c>
      <c r="F30" s="38">
        <v>14699220</v>
      </c>
      <c r="G30" s="39">
        <v>44911</v>
      </c>
      <c r="H30" s="39">
        <v>44911</v>
      </c>
      <c r="I30" s="39">
        <v>45276</v>
      </c>
      <c r="J30" s="83" t="s">
        <v>30</v>
      </c>
      <c r="K30" s="40" t="s">
        <v>695</v>
      </c>
      <c r="L30" s="41" t="s">
        <v>35</v>
      </c>
      <c r="M30" s="35" t="s">
        <v>37</v>
      </c>
    </row>
    <row r="31" spans="1:13" s="43" customFormat="1" ht="102" customHeight="1">
      <c r="A31" s="96" t="str">
        <f t="shared" si="0"/>
        <v>22EB0117PERFORMANCE BOND</v>
      </c>
      <c r="B31" s="136">
        <v>18</v>
      </c>
      <c r="C31" s="42" t="s">
        <v>44</v>
      </c>
      <c r="D31" s="36" t="s">
        <v>696</v>
      </c>
      <c r="E31" s="37" t="s">
        <v>697</v>
      </c>
      <c r="F31" s="38">
        <v>5137904.0199999996</v>
      </c>
      <c r="G31" s="39">
        <v>44924</v>
      </c>
      <c r="H31" s="39">
        <v>44924</v>
      </c>
      <c r="I31" s="39">
        <v>45655</v>
      </c>
      <c r="J31" s="83" t="s">
        <v>27</v>
      </c>
      <c r="K31" s="40" t="s">
        <v>698</v>
      </c>
      <c r="L31" s="41" t="s">
        <v>28</v>
      </c>
      <c r="M31" s="35" t="s">
        <v>40</v>
      </c>
    </row>
    <row r="32" spans="1:13" s="43" customFormat="1" ht="102" customHeight="1">
      <c r="A32" s="96" t="str">
        <f t="shared" si="0"/>
        <v>22EB0117CONTRACTOR'S ALL RISK POLICY</v>
      </c>
      <c r="B32" s="136">
        <v>19</v>
      </c>
      <c r="C32" s="42" t="s">
        <v>44</v>
      </c>
      <c r="D32" s="36" t="s">
        <v>696</v>
      </c>
      <c r="E32" s="37" t="s">
        <v>697</v>
      </c>
      <c r="F32" s="38">
        <v>17126346.73</v>
      </c>
      <c r="G32" s="39">
        <v>44924</v>
      </c>
      <c r="H32" s="39">
        <v>44924</v>
      </c>
      <c r="I32" s="39">
        <v>45289</v>
      </c>
      <c r="J32" s="83" t="s">
        <v>30</v>
      </c>
      <c r="K32" s="40" t="s">
        <v>699</v>
      </c>
      <c r="L32" s="41" t="s">
        <v>28</v>
      </c>
      <c r="M32" s="35" t="s">
        <v>31</v>
      </c>
    </row>
    <row r="33" spans="1:13" s="43" customFormat="1" ht="102" customHeight="1">
      <c r="A33" s="96" t="str">
        <f t="shared" si="0"/>
        <v>22EB0117ADVANCE PAYMENT BOND</v>
      </c>
      <c r="B33" s="136">
        <v>20</v>
      </c>
      <c r="C33" s="42" t="s">
        <v>44</v>
      </c>
      <c r="D33" s="36" t="s">
        <v>696</v>
      </c>
      <c r="E33" s="37" t="s">
        <v>697</v>
      </c>
      <c r="F33" s="38">
        <v>2568952.0099999998</v>
      </c>
      <c r="G33" s="39">
        <v>44924</v>
      </c>
      <c r="H33" s="39">
        <v>44924</v>
      </c>
      <c r="I33" s="39">
        <v>45289</v>
      </c>
      <c r="J33" s="83" t="s">
        <v>30</v>
      </c>
      <c r="K33" s="40" t="s">
        <v>700</v>
      </c>
      <c r="L33" s="41" t="s">
        <v>28</v>
      </c>
      <c r="M33" s="35" t="s">
        <v>34</v>
      </c>
    </row>
    <row r="34" spans="1:13" ht="102" customHeight="1">
      <c r="A34" s="96" t="str">
        <f t="shared" si="0"/>
        <v>19EB0040WARRANTY BOND</v>
      </c>
      <c r="B34" s="136">
        <v>21</v>
      </c>
      <c r="C34" s="42" t="s">
        <v>227</v>
      </c>
      <c r="D34" s="36" t="s">
        <v>703</v>
      </c>
      <c r="E34" s="37" t="s">
        <v>701</v>
      </c>
      <c r="F34" s="38">
        <v>11759728</v>
      </c>
      <c r="G34" s="39">
        <v>44183</v>
      </c>
      <c r="H34" s="39">
        <v>44183</v>
      </c>
      <c r="I34" s="39">
        <v>44548</v>
      </c>
      <c r="J34" s="83" t="s">
        <v>30</v>
      </c>
      <c r="K34" s="40" t="s">
        <v>702</v>
      </c>
      <c r="L34" s="41" t="s">
        <v>35</v>
      </c>
      <c r="M34" s="35" t="s">
        <v>37</v>
      </c>
    </row>
    <row r="35" spans="1:13" ht="102" customHeight="1">
      <c r="A35" s="96" t="str">
        <f t="shared" si="0"/>
        <v>19EB0047WARRANTY BOND</v>
      </c>
      <c r="B35" s="136">
        <v>22</v>
      </c>
      <c r="C35" s="42" t="s">
        <v>227</v>
      </c>
      <c r="D35" s="36" t="s">
        <v>704</v>
      </c>
      <c r="E35" s="37" t="s">
        <v>705</v>
      </c>
      <c r="F35" s="38">
        <v>11759728</v>
      </c>
      <c r="G35" s="39">
        <v>44151</v>
      </c>
      <c r="H35" s="39">
        <v>44151</v>
      </c>
      <c r="I35" s="39">
        <v>44516</v>
      </c>
      <c r="J35" s="83" t="s">
        <v>30</v>
      </c>
      <c r="K35" s="40" t="s">
        <v>706</v>
      </c>
      <c r="L35" s="41" t="s">
        <v>35</v>
      </c>
      <c r="M35" s="35" t="s">
        <v>37</v>
      </c>
    </row>
    <row r="36" spans="1:13" ht="102" customHeight="1">
      <c r="A36" s="96" t="str">
        <f t="shared" si="0"/>
        <v>19EB0039WARRANTY BOND</v>
      </c>
      <c r="B36" s="136">
        <v>23</v>
      </c>
      <c r="C36" s="42" t="s">
        <v>227</v>
      </c>
      <c r="D36" s="36" t="s">
        <v>707</v>
      </c>
      <c r="E36" s="37" t="s">
        <v>708</v>
      </c>
      <c r="F36" s="38">
        <v>10289785.5</v>
      </c>
      <c r="G36" s="39">
        <v>44183</v>
      </c>
      <c r="H36" s="39">
        <v>44183</v>
      </c>
      <c r="I36" s="39">
        <v>44548</v>
      </c>
      <c r="J36" s="83" t="s">
        <v>30</v>
      </c>
      <c r="K36" s="40" t="s">
        <v>709</v>
      </c>
      <c r="L36" s="41" t="s">
        <v>35</v>
      </c>
      <c r="M36" s="35" t="s">
        <v>37</v>
      </c>
    </row>
    <row r="37" spans="1:13" ht="102" customHeight="1">
      <c r="A37" s="96" t="str">
        <f t="shared" si="0"/>
        <v>19EB0048WARRANTY BOND</v>
      </c>
      <c r="B37" s="136">
        <v>24</v>
      </c>
      <c r="C37" s="42" t="s">
        <v>227</v>
      </c>
      <c r="D37" s="36" t="s">
        <v>710</v>
      </c>
      <c r="E37" s="37" t="s">
        <v>711</v>
      </c>
      <c r="F37" s="38">
        <v>11759398</v>
      </c>
      <c r="G37" s="39">
        <v>44183</v>
      </c>
      <c r="H37" s="39">
        <v>44183</v>
      </c>
      <c r="I37" s="39">
        <v>44548</v>
      </c>
      <c r="J37" s="83" t="s">
        <v>30</v>
      </c>
      <c r="K37" s="40" t="s">
        <v>709</v>
      </c>
      <c r="L37" s="41" t="s">
        <v>35</v>
      </c>
      <c r="M37" s="35" t="s">
        <v>37</v>
      </c>
    </row>
    <row r="38" spans="1:13" ht="102" customHeight="1">
      <c r="A38" s="96" t="str">
        <f t="shared" si="0"/>
        <v>19EB0034WARRANTY BOND</v>
      </c>
      <c r="B38" s="136">
        <v>24</v>
      </c>
      <c r="C38" s="42" t="s">
        <v>227</v>
      </c>
      <c r="D38" s="36" t="s">
        <v>712</v>
      </c>
      <c r="E38" s="37" t="s">
        <v>713</v>
      </c>
      <c r="F38" s="38">
        <v>10289630</v>
      </c>
      <c r="G38" s="39">
        <v>44171</v>
      </c>
      <c r="H38" s="39">
        <v>44171</v>
      </c>
      <c r="I38" s="39">
        <v>44536</v>
      </c>
      <c r="J38" s="83" t="s">
        <v>30</v>
      </c>
      <c r="K38" s="40" t="s">
        <v>714</v>
      </c>
      <c r="L38" s="41" t="s">
        <v>35</v>
      </c>
      <c r="M38" s="35" t="s">
        <v>37</v>
      </c>
    </row>
    <row r="39" spans="1:13" ht="102" customHeight="1">
      <c r="A39" s="96" t="str">
        <f t="shared" si="0"/>
        <v>19EB0013WARRANTY BOND</v>
      </c>
      <c r="B39" s="136">
        <v>24</v>
      </c>
      <c r="C39" s="42" t="s">
        <v>227</v>
      </c>
      <c r="D39" s="36" t="s">
        <v>715</v>
      </c>
      <c r="E39" s="37" t="s">
        <v>716</v>
      </c>
      <c r="F39" s="38">
        <v>14699054.5</v>
      </c>
      <c r="G39" s="39">
        <v>44172</v>
      </c>
      <c r="H39" s="39">
        <v>44172</v>
      </c>
      <c r="I39" s="39">
        <v>44537</v>
      </c>
      <c r="J39" s="83" t="s">
        <v>30</v>
      </c>
      <c r="K39" s="40" t="s">
        <v>717</v>
      </c>
      <c r="L39" s="41" t="s">
        <v>35</v>
      </c>
      <c r="M39" s="35" t="s">
        <v>37</v>
      </c>
    </row>
    <row r="40" spans="1:13" ht="102" customHeight="1">
      <c r="A40" s="96" t="str">
        <f t="shared" si="0"/>
        <v>19EB0042WARRANTY BOND</v>
      </c>
      <c r="B40" s="136">
        <v>24</v>
      </c>
      <c r="C40" s="42" t="s">
        <v>227</v>
      </c>
      <c r="D40" s="36" t="s">
        <v>718</v>
      </c>
      <c r="E40" s="37" t="s">
        <v>719</v>
      </c>
      <c r="F40" s="38">
        <v>11758706.5</v>
      </c>
      <c r="G40" s="39">
        <v>44183</v>
      </c>
      <c r="H40" s="39">
        <v>44183</v>
      </c>
      <c r="I40" s="39">
        <v>44548</v>
      </c>
      <c r="J40" s="83" t="s">
        <v>30</v>
      </c>
      <c r="K40" s="40" t="s">
        <v>720</v>
      </c>
      <c r="L40" s="41" t="s">
        <v>35</v>
      </c>
      <c r="M40" s="35" t="s">
        <v>37</v>
      </c>
    </row>
    <row r="41" spans="1:13" ht="135.75" customHeight="1">
      <c r="A41" s="96" t="str">
        <f t="shared" si="0"/>
        <v>22EB0010RETENTION BOND</v>
      </c>
      <c r="B41" s="136">
        <v>28</v>
      </c>
      <c r="C41" s="42" t="s">
        <v>42</v>
      </c>
      <c r="D41" s="36" t="s">
        <v>721</v>
      </c>
      <c r="E41" s="37" t="s">
        <v>722</v>
      </c>
      <c r="F41" s="38">
        <v>2880371.5</v>
      </c>
      <c r="G41" s="39">
        <v>44942</v>
      </c>
      <c r="H41" s="39">
        <v>44942</v>
      </c>
      <c r="I41" s="39">
        <v>45307</v>
      </c>
      <c r="J41" s="83" t="s">
        <v>30</v>
      </c>
      <c r="K41" s="40" t="s">
        <v>723</v>
      </c>
      <c r="L41" s="41" t="s">
        <v>35</v>
      </c>
      <c r="M41" s="35" t="s">
        <v>33</v>
      </c>
    </row>
    <row r="42" spans="1:13" ht="131.25" customHeight="1">
      <c r="A42" s="96" t="str">
        <f t="shared" si="0"/>
        <v>19EB0080WARRANTY BOND</v>
      </c>
      <c r="B42" s="136">
        <v>29</v>
      </c>
      <c r="C42" s="42" t="s">
        <v>453</v>
      </c>
      <c r="D42" s="36" t="s">
        <v>724</v>
      </c>
      <c r="E42" s="37" t="s">
        <v>725</v>
      </c>
      <c r="F42" s="38">
        <v>7199292.0499999998</v>
      </c>
      <c r="G42" s="39">
        <v>44867</v>
      </c>
      <c r="H42" s="39">
        <v>44867</v>
      </c>
      <c r="I42" s="39">
        <v>45232</v>
      </c>
      <c r="J42" s="83" t="s">
        <v>30</v>
      </c>
      <c r="K42" s="40" t="s">
        <v>728</v>
      </c>
      <c r="L42" s="41" t="s">
        <v>28</v>
      </c>
      <c r="M42" s="35" t="s">
        <v>37</v>
      </c>
    </row>
    <row r="43" spans="1:13" ht="131.25" customHeight="1">
      <c r="A43" s="96" t="str">
        <f t="shared" si="0"/>
        <v>20EB0064WARRANTY BOND</v>
      </c>
      <c r="B43" s="136">
        <v>29</v>
      </c>
      <c r="C43" s="42" t="s">
        <v>453</v>
      </c>
      <c r="D43" s="36" t="s">
        <v>726</v>
      </c>
      <c r="E43" s="37" t="s">
        <v>727</v>
      </c>
      <c r="F43" s="38">
        <v>21689450.48</v>
      </c>
      <c r="G43" s="39">
        <v>44765</v>
      </c>
      <c r="H43" s="39">
        <v>44765</v>
      </c>
      <c r="I43" s="39">
        <v>45130</v>
      </c>
      <c r="J43" s="83" t="s">
        <v>30</v>
      </c>
      <c r="K43" s="40" t="s">
        <v>729</v>
      </c>
      <c r="L43" s="41" t="s">
        <v>28</v>
      </c>
      <c r="M43" s="35" t="s">
        <v>37</v>
      </c>
    </row>
    <row r="44" spans="1:13" ht="94.5" customHeight="1">
      <c r="A44" s="96" t="str">
        <f>D44&amp;M44</f>
        <v>20EB0133WARRANTY BOND</v>
      </c>
      <c r="B44" s="136">
        <v>31</v>
      </c>
      <c r="C44" s="42" t="s">
        <v>663</v>
      </c>
      <c r="D44" s="36" t="s">
        <v>664</v>
      </c>
      <c r="E44" s="150" t="s">
        <v>730</v>
      </c>
      <c r="F44" s="38">
        <v>4006093.35</v>
      </c>
      <c r="G44" s="39">
        <v>44911</v>
      </c>
      <c r="H44" s="39">
        <v>44911</v>
      </c>
      <c r="I44" s="39">
        <v>45276</v>
      </c>
      <c r="J44" s="83" t="s">
        <v>30</v>
      </c>
      <c r="K44" s="40" t="s">
        <v>731</v>
      </c>
      <c r="L44" s="41" t="s">
        <v>69</v>
      </c>
      <c r="M44" s="35" t="s">
        <v>37</v>
      </c>
    </row>
    <row r="45" spans="1:13" ht="96" customHeight="1">
      <c r="A45" s="96" t="str">
        <f t="shared" ref="A45:A108" si="1">D45&amp;M45</f>
        <v>22EB0008RETENTION BOND</v>
      </c>
      <c r="B45" s="136">
        <v>32</v>
      </c>
      <c r="C45" s="42" t="s">
        <v>44</v>
      </c>
      <c r="D45" s="36" t="s">
        <v>200</v>
      </c>
      <c r="E45" s="37" t="s">
        <v>207</v>
      </c>
      <c r="F45" s="38">
        <v>3320844.59</v>
      </c>
      <c r="G45" s="39">
        <v>44943</v>
      </c>
      <c r="H45" s="39">
        <v>44943</v>
      </c>
      <c r="I45" s="39">
        <v>45308</v>
      </c>
      <c r="J45" s="83" t="s">
        <v>30</v>
      </c>
      <c r="K45" s="40" t="s">
        <v>732</v>
      </c>
      <c r="L45" s="41" t="s">
        <v>35</v>
      </c>
      <c r="M45" s="35" t="s">
        <v>33</v>
      </c>
    </row>
    <row r="46" spans="1:13" ht="96" customHeight="1">
      <c r="A46" s="96" t="str">
        <f t="shared" si="1"/>
        <v>22EB0089RETENTION BOND</v>
      </c>
      <c r="B46" s="136">
        <v>33</v>
      </c>
      <c r="C46" s="42" t="s">
        <v>733</v>
      </c>
      <c r="D46" s="36" t="s">
        <v>258</v>
      </c>
      <c r="E46" s="37" t="s">
        <v>259</v>
      </c>
      <c r="F46" s="38">
        <v>1108609.76</v>
      </c>
      <c r="G46" s="39">
        <v>44949</v>
      </c>
      <c r="H46" s="39">
        <v>44949</v>
      </c>
      <c r="I46" s="39">
        <v>45314</v>
      </c>
      <c r="J46" s="83" t="s">
        <v>30</v>
      </c>
      <c r="K46" s="40" t="s">
        <v>734</v>
      </c>
      <c r="L46" s="41" t="s">
        <v>35</v>
      </c>
      <c r="M46" s="35" t="s">
        <v>33</v>
      </c>
    </row>
    <row r="47" spans="1:13" ht="96" customHeight="1">
      <c r="A47" s="96" t="str">
        <f t="shared" si="1"/>
        <v>22EB0116PERFORMANCE BOND</v>
      </c>
      <c r="B47" s="136">
        <v>34</v>
      </c>
      <c r="C47" s="42" t="s">
        <v>735</v>
      </c>
      <c r="D47" s="36" t="s">
        <v>736</v>
      </c>
      <c r="E47" s="37" t="s">
        <v>737</v>
      </c>
      <c r="F47" s="38">
        <v>1481666.66</v>
      </c>
      <c r="G47" s="39">
        <v>44924</v>
      </c>
      <c r="H47" s="39">
        <v>44924</v>
      </c>
      <c r="I47" s="39">
        <v>45655</v>
      </c>
      <c r="J47" s="83" t="s">
        <v>30</v>
      </c>
      <c r="K47" s="40" t="s">
        <v>738</v>
      </c>
      <c r="L47" s="41" t="s">
        <v>28</v>
      </c>
      <c r="M47" s="35" t="s">
        <v>40</v>
      </c>
    </row>
    <row r="48" spans="1:13" ht="96" customHeight="1">
      <c r="A48" s="96" t="str">
        <f t="shared" si="1"/>
        <v>22EB0116CONTRACTOR'S ALL RISK POLICY</v>
      </c>
      <c r="B48" s="136">
        <v>34</v>
      </c>
      <c r="C48" s="42" t="s">
        <v>735</v>
      </c>
      <c r="D48" s="36" t="s">
        <v>736</v>
      </c>
      <c r="E48" s="37" t="s">
        <v>737</v>
      </c>
      <c r="F48" s="38">
        <v>4938888.88</v>
      </c>
      <c r="G48" s="39">
        <v>44924</v>
      </c>
      <c r="H48" s="39">
        <v>44924</v>
      </c>
      <c r="I48" s="39">
        <v>45289</v>
      </c>
      <c r="J48" s="83" t="s">
        <v>30</v>
      </c>
      <c r="K48" s="40" t="s">
        <v>739</v>
      </c>
      <c r="L48" s="41" t="s">
        <v>28</v>
      </c>
      <c r="M48" s="35" t="s">
        <v>31</v>
      </c>
    </row>
    <row r="49" spans="1:13" ht="96" customHeight="1">
      <c r="A49" s="96" t="str">
        <f t="shared" si="1"/>
        <v>22EB0116ADVANCE PAYMENT BOND</v>
      </c>
      <c r="B49" s="136">
        <v>34</v>
      </c>
      <c r="C49" s="42" t="s">
        <v>735</v>
      </c>
      <c r="D49" s="36" t="s">
        <v>736</v>
      </c>
      <c r="E49" s="37" t="s">
        <v>737</v>
      </c>
      <c r="F49" s="38">
        <v>740833.33</v>
      </c>
      <c r="G49" s="39">
        <v>44924</v>
      </c>
      <c r="H49" s="39">
        <v>44924</v>
      </c>
      <c r="I49" s="39">
        <v>45289</v>
      </c>
      <c r="J49" s="83" t="s">
        <v>30</v>
      </c>
      <c r="K49" s="40" t="s">
        <v>740</v>
      </c>
      <c r="L49" s="41" t="s">
        <v>28</v>
      </c>
      <c r="M49" s="35" t="s">
        <v>34</v>
      </c>
    </row>
    <row r="50" spans="1:13" ht="96" customHeight="1">
      <c r="A50" s="96" t="str">
        <f t="shared" si="1"/>
        <v>21EB0144RETENTION BOND</v>
      </c>
      <c r="B50" s="136">
        <v>37</v>
      </c>
      <c r="C50" s="42" t="s">
        <v>743</v>
      </c>
      <c r="D50" s="36" t="s">
        <v>96</v>
      </c>
      <c r="E50" s="37" t="s">
        <v>741</v>
      </c>
      <c r="F50" s="38">
        <v>293712.5</v>
      </c>
      <c r="G50" s="39">
        <v>44949</v>
      </c>
      <c r="H50" s="39">
        <v>44949</v>
      </c>
      <c r="I50" s="39">
        <v>45314</v>
      </c>
      <c r="J50" s="83" t="s">
        <v>30</v>
      </c>
      <c r="K50" s="40" t="s">
        <v>742</v>
      </c>
      <c r="L50" s="41" t="s">
        <v>35</v>
      </c>
      <c r="M50" s="35" t="s">
        <v>33</v>
      </c>
    </row>
    <row r="51" spans="1:13" ht="96" customHeight="1">
      <c r="A51" s="96" t="str">
        <f t="shared" si="1"/>
        <v>21EB0146RETENTION BOND</v>
      </c>
      <c r="B51" s="136">
        <v>37</v>
      </c>
      <c r="C51" s="42" t="s">
        <v>743</v>
      </c>
      <c r="D51" s="36" t="s">
        <v>102</v>
      </c>
      <c r="E51" s="37" t="s">
        <v>744</v>
      </c>
      <c r="F51" s="38">
        <v>293751</v>
      </c>
      <c r="G51" s="39">
        <v>44949</v>
      </c>
      <c r="H51" s="39">
        <v>44949</v>
      </c>
      <c r="I51" s="39">
        <v>45314</v>
      </c>
      <c r="J51" s="83" t="s">
        <v>30</v>
      </c>
      <c r="K51" s="40" t="s">
        <v>745</v>
      </c>
      <c r="L51" s="41" t="s">
        <v>35</v>
      </c>
      <c r="M51" s="35" t="s">
        <v>33</v>
      </c>
    </row>
    <row r="52" spans="1:13" ht="96" customHeight="1">
      <c r="A52" s="96" t="str">
        <f t="shared" si="1"/>
        <v>21EB0139RETENTION BOND</v>
      </c>
      <c r="B52" s="136">
        <v>37</v>
      </c>
      <c r="C52" s="42" t="s">
        <v>743</v>
      </c>
      <c r="D52" s="36" t="s">
        <v>99</v>
      </c>
      <c r="E52" s="37" t="s">
        <v>100</v>
      </c>
      <c r="F52" s="38">
        <v>245099.5</v>
      </c>
      <c r="G52" s="39">
        <v>44949</v>
      </c>
      <c r="H52" s="39">
        <v>44949</v>
      </c>
      <c r="I52" s="39">
        <v>45314</v>
      </c>
      <c r="J52" s="83" t="s">
        <v>30</v>
      </c>
      <c r="K52" s="40" t="s">
        <v>746</v>
      </c>
      <c r="L52" s="41" t="s">
        <v>35</v>
      </c>
      <c r="M52" s="35" t="s">
        <v>33</v>
      </c>
    </row>
    <row r="53" spans="1:13" ht="96" customHeight="1">
      <c r="A53" s="96" t="str">
        <f t="shared" si="1"/>
        <v>22EB0108RETENTION BOND</v>
      </c>
      <c r="B53" s="136">
        <v>40</v>
      </c>
      <c r="C53" s="42" t="s">
        <v>44</v>
      </c>
      <c r="D53" s="36" t="s">
        <v>464</v>
      </c>
      <c r="E53" s="37" t="s">
        <v>747</v>
      </c>
      <c r="F53" s="38">
        <v>35319.75</v>
      </c>
      <c r="G53" s="39">
        <v>44900</v>
      </c>
      <c r="H53" s="39">
        <v>44900</v>
      </c>
      <c r="I53" s="39">
        <v>45265</v>
      </c>
      <c r="J53" s="83" t="s">
        <v>30</v>
      </c>
      <c r="K53" s="40" t="s">
        <v>748</v>
      </c>
      <c r="L53" s="41" t="s">
        <v>69</v>
      </c>
      <c r="M53" s="35" t="s">
        <v>33</v>
      </c>
    </row>
    <row r="54" spans="1:13" ht="96" customHeight="1">
      <c r="A54" s="96" t="str">
        <f t="shared" si="1"/>
        <v>22EB0119RETENTION BOND</v>
      </c>
      <c r="B54" s="136">
        <v>40</v>
      </c>
      <c r="C54" s="42" t="s">
        <v>44</v>
      </c>
      <c r="D54" s="36" t="s">
        <v>749</v>
      </c>
      <c r="E54" s="37" t="s">
        <v>750</v>
      </c>
      <c r="F54" s="38">
        <v>979952.33</v>
      </c>
      <c r="G54" s="39">
        <v>44900</v>
      </c>
      <c r="H54" s="39">
        <v>44900</v>
      </c>
      <c r="I54" s="39">
        <v>45265</v>
      </c>
      <c r="J54" s="83" t="s">
        <v>30</v>
      </c>
      <c r="K54" s="40" t="s">
        <v>751</v>
      </c>
      <c r="L54" s="41" t="s">
        <v>69</v>
      </c>
      <c r="M54" s="35" t="s">
        <v>33</v>
      </c>
    </row>
    <row r="55" spans="1:13" ht="96" customHeight="1">
      <c r="A55" s="96" t="str">
        <f t="shared" si="1"/>
        <v>22EB0076RETENTION BOND</v>
      </c>
      <c r="B55" s="136">
        <v>40</v>
      </c>
      <c r="C55" s="42" t="s">
        <v>44</v>
      </c>
      <c r="D55" s="36" t="s">
        <v>752</v>
      </c>
      <c r="E55" s="37" t="s">
        <v>753</v>
      </c>
      <c r="F55" s="38">
        <v>1175810.5</v>
      </c>
      <c r="G55" s="39">
        <v>44900</v>
      </c>
      <c r="H55" s="39">
        <v>44900</v>
      </c>
      <c r="I55" s="39">
        <v>45265</v>
      </c>
      <c r="J55" s="83" t="s">
        <v>30</v>
      </c>
      <c r="K55" s="40" t="s">
        <v>754</v>
      </c>
      <c r="L55" s="41" t="s">
        <v>69</v>
      </c>
      <c r="M55" s="35" t="s">
        <v>33</v>
      </c>
    </row>
    <row r="56" spans="1:13" ht="96" customHeight="1">
      <c r="A56" s="96" t="str">
        <f t="shared" si="1"/>
        <v>22EB0113RETENTION BOND</v>
      </c>
      <c r="B56" s="136">
        <v>40</v>
      </c>
      <c r="C56" s="42" t="s">
        <v>44</v>
      </c>
      <c r="D56" s="36" t="s">
        <v>537</v>
      </c>
      <c r="E56" s="37" t="s">
        <v>755</v>
      </c>
      <c r="F56" s="38">
        <v>217499.04</v>
      </c>
      <c r="G56" s="39">
        <v>44924</v>
      </c>
      <c r="H56" s="39">
        <v>44924</v>
      </c>
      <c r="I56" s="39">
        <v>45289</v>
      </c>
      <c r="J56" s="83" t="s">
        <v>30</v>
      </c>
      <c r="K56" s="40" t="s">
        <v>756</v>
      </c>
      <c r="L56" s="41" t="s">
        <v>69</v>
      </c>
      <c r="M56" s="35" t="s">
        <v>33</v>
      </c>
    </row>
    <row r="57" spans="1:13" ht="96" customHeight="1">
      <c r="A57" s="96" t="str">
        <f t="shared" si="1"/>
        <v>22EB0115RETENTION BOND</v>
      </c>
      <c r="B57" s="136">
        <v>40</v>
      </c>
      <c r="C57" s="42" t="s">
        <v>560</v>
      </c>
      <c r="D57" s="36" t="s">
        <v>561</v>
      </c>
      <c r="E57" s="37" t="s">
        <v>562</v>
      </c>
      <c r="F57" s="38">
        <v>438375.24</v>
      </c>
      <c r="G57" s="39">
        <v>44924</v>
      </c>
      <c r="H57" s="39">
        <v>44924</v>
      </c>
      <c r="I57" s="39">
        <v>45289</v>
      </c>
      <c r="J57" s="83" t="s">
        <v>30</v>
      </c>
      <c r="K57" s="40" t="s">
        <v>757</v>
      </c>
      <c r="L57" s="41" t="s">
        <v>69</v>
      </c>
      <c r="M57" s="35" t="s">
        <v>33</v>
      </c>
    </row>
    <row r="58" spans="1:13" ht="96" customHeight="1">
      <c r="A58" s="96" t="str">
        <f t="shared" si="1"/>
        <v>22EB0048RETENTION BOND</v>
      </c>
      <c r="B58" s="136">
        <v>40</v>
      </c>
      <c r="C58" s="42" t="s">
        <v>758</v>
      </c>
      <c r="D58" s="36" t="s">
        <v>759</v>
      </c>
      <c r="E58" s="37" t="s">
        <v>760</v>
      </c>
      <c r="F58" s="38">
        <v>4409933.4000000004</v>
      </c>
      <c r="G58" s="39">
        <v>44950</v>
      </c>
      <c r="H58" s="39">
        <v>44950</v>
      </c>
      <c r="I58" s="39">
        <v>45315</v>
      </c>
      <c r="J58" s="83" t="s">
        <v>30</v>
      </c>
      <c r="K58" s="40" t="s">
        <v>761</v>
      </c>
      <c r="L58" s="41" t="s">
        <v>69</v>
      </c>
      <c r="M58" s="35" t="s">
        <v>33</v>
      </c>
    </row>
    <row r="59" spans="1:13" s="43" customFormat="1" ht="96" customHeight="1">
      <c r="A59" s="96" t="str">
        <f t="shared" si="1"/>
        <v>21EB0032RETENTION BOND</v>
      </c>
      <c r="B59" s="151">
        <v>46</v>
      </c>
      <c r="C59" s="42" t="s">
        <v>67</v>
      </c>
      <c r="D59" s="36" t="s">
        <v>763</v>
      </c>
      <c r="E59" s="37" t="s">
        <v>764</v>
      </c>
      <c r="F59" s="38">
        <v>4899004.5</v>
      </c>
      <c r="G59" s="39">
        <v>44963</v>
      </c>
      <c r="H59" s="39">
        <v>44963</v>
      </c>
      <c r="I59" s="39">
        <v>45328</v>
      </c>
      <c r="J59" s="152" t="s">
        <v>30</v>
      </c>
      <c r="K59" s="40" t="s">
        <v>765</v>
      </c>
      <c r="L59" s="41" t="s">
        <v>35</v>
      </c>
      <c r="M59" s="35" t="s">
        <v>33</v>
      </c>
    </row>
    <row r="60" spans="1:13" ht="96" customHeight="1">
      <c r="A60" s="96" t="str">
        <f t="shared" si="1"/>
        <v>23EB0019PERFORMANCE BOND</v>
      </c>
      <c r="B60" s="136">
        <v>47</v>
      </c>
      <c r="C60" s="42" t="s">
        <v>766</v>
      </c>
      <c r="D60" s="36" t="s">
        <v>767</v>
      </c>
      <c r="E60" s="37" t="s">
        <v>768</v>
      </c>
      <c r="F60" s="38">
        <v>14259000.09</v>
      </c>
      <c r="G60" s="39">
        <v>44963</v>
      </c>
      <c r="H60" s="39">
        <v>44963</v>
      </c>
      <c r="I60" s="39">
        <v>45694</v>
      </c>
      <c r="J60" s="83" t="s">
        <v>27</v>
      </c>
      <c r="K60" s="40" t="s">
        <v>769</v>
      </c>
      <c r="L60" s="41" t="s">
        <v>32</v>
      </c>
      <c r="M60" s="35" t="s">
        <v>40</v>
      </c>
    </row>
    <row r="61" spans="1:13" ht="96" customHeight="1">
      <c r="A61" s="96" t="str">
        <f t="shared" si="1"/>
        <v>23EB0019CONTRACTOR'S ALL RISK POLICY</v>
      </c>
      <c r="B61" s="136">
        <v>47</v>
      </c>
      <c r="C61" s="42" t="s">
        <v>766</v>
      </c>
      <c r="D61" s="36" t="s">
        <v>767</v>
      </c>
      <c r="E61" s="37" t="s">
        <v>768</v>
      </c>
      <c r="F61" s="38">
        <v>47530000.299999997</v>
      </c>
      <c r="G61" s="39">
        <v>44965</v>
      </c>
      <c r="H61" s="39">
        <v>44965</v>
      </c>
      <c r="I61" s="39">
        <v>45330</v>
      </c>
      <c r="J61" s="83" t="s">
        <v>30</v>
      </c>
      <c r="K61" s="40" t="s">
        <v>770</v>
      </c>
      <c r="L61" s="41" t="s">
        <v>32</v>
      </c>
      <c r="M61" s="35" t="s">
        <v>31</v>
      </c>
    </row>
    <row r="62" spans="1:13" ht="96" customHeight="1">
      <c r="A62" s="96" t="str">
        <f t="shared" si="1"/>
        <v>23EB0040PERFORMANCE BOND</v>
      </c>
      <c r="B62" s="136">
        <v>49</v>
      </c>
      <c r="C62" s="42" t="s">
        <v>655</v>
      </c>
      <c r="D62" s="36" t="s">
        <v>771</v>
      </c>
      <c r="E62" s="37" t="s">
        <v>772</v>
      </c>
      <c r="F62" s="38">
        <v>2878703.77</v>
      </c>
      <c r="G62" s="39">
        <v>44963</v>
      </c>
      <c r="H62" s="39">
        <v>44963</v>
      </c>
      <c r="I62" s="39">
        <v>45694</v>
      </c>
      <c r="J62" s="83" t="s">
        <v>27</v>
      </c>
      <c r="K62" s="40" t="s">
        <v>773</v>
      </c>
      <c r="L62" s="41" t="s">
        <v>32</v>
      </c>
      <c r="M62" s="35" t="s">
        <v>40</v>
      </c>
    </row>
    <row r="63" spans="1:13" ht="96" customHeight="1">
      <c r="A63" s="96" t="str">
        <f t="shared" si="1"/>
        <v>23EB0040CONTRACTOR'S ALL RISK POLICY</v>
      </c>
      <c r="B63" s="136">
        <v>49</v>
      </c>
      <c r="C63" s="42" t="s">
        <v>655</v>
      </c>
      <c r="D63" s="36" t="s">
        <v>771</v>
      </c>
      <c r="E63" s="37" t="s">
        <v>772</v>
      </c>
      <c r="F63" s="38">
        <v>9595679.2300000004</v>
      </c>
      <c r="G63" s="39">
        <v>44965</v>
      </c>
      <c r="H63" s="39">
        <v>44965</v>
      </c>
      <c r="I63" s="39">
        <v>45330</v>
      </c>
      <c r="J63" s="83" t="s">
        <v>30</v>
      </c>
      <c r="K63" s="40" t="s">
        <v>774</v>
      </c>
      <c r="L63" s="41" t="s">
        <v>32</v>
      </c>
      <c r="M63" s="35" t="s">
        <v>31</v>
      </c>
    </row>
    <row r="64" spans="1:13" ht="96" customHeight="1">
      <c r="A64" s="96" t="str">
        <f t="shared" si="1"/>
        <v>23EB0053PERFORMANCE BOND</v>
      </c>
      <c r="B64" s="136">
        <v>51</v>
      </c>
      <c r="C64" s="42" t="s">
        <v>43</v>
      </c>
      <c r="D64" s="36" t="s">
        <v>775</v>
      </c>
      <c r="E64" s="37" t="s">
        <v>776</v>
      </c>
      <c r="F64" s="38">
        <v>1471281.97</v>
      </c>
      <c r="G64" s="39">
        <v>44963</v>
      </c>
      <c r="H64" s="39">
        <v>44963</v>
      </c>
      <c r="I64" s="39">
        <v>45694</v>
      </c>
      <c r="J64" s="83" t="s">
        <v>27</v>
      </c>
      <c r="K64" s="40" t="s">
        <v>777</v>
      </c>
      <c r="L64" s="41" t="s">
        <v>32</v>
      </c>
      <c r="M64" s="35" t="s">
        <v>40</v>
      </c>
    </row>
    <row r="65" spans="1:13" ht="96" customHeight="1">
      <c r="A65" s="96" t="str">
        <f t="shared" si="1"/>
        <v>23EB0053CONTRACTOR'S ALL RISK POLICY</v>
      </c>
      <c r="B65" s="136">
        <v>51</v>
      </c>
      <c r="C65" s="42" t="s">
        <v>43</v>
      </c>
      <c r="D65" s="36" t="s">
        <v>775</v>
      </c>
      <c r="E65" s="37" t="s">
        <v>776</v>
      </c>
      <c r="F65" s="38">
        <v>4904273.2300000004</v>
      </c>
      <c r="G65" s="39">
        <v>44965</v>
      </c>
      <c r="H65" s="39">
        <v>44965</v>
      </c>
      <c r="I65" s="39">
        <v>45330</v>
      </c>
      <c r="J65" s="83" t="s">
        <v>30</v>
      </c>
      <c r="K65" s="40" t="s">
        <v>778</v>
      </c>
      <c r="L65" s="41" t="s">
        <v>32</v>
      </c>
      <c r="M65" s="35" t="s">
        <v>31</v>
      </c>
    </row>
    <row r="66" spans="1:13" ht="96" customHeight="1">
      <c r="A66" s="96" t="str">
        <f t="shared" si="1"/>
        <v>23EB0042PERFORMANCE BOND</v>
      </c>
      <c r="B66" s="136">
        <v>53</v>
      </c>
      <c r="C66" s="42" t="s">
        <v>43</v>
      </c>
      <c r="D66" s="36" t="s">
        <v>779</v>
      </c>
      <c r="E66" s="37" t="s">
        <v>780</v>
      </c>
      <c r="F66" s="38">
        <v>2777048.64</v>
      </c>
      <c r="G66" s="39">
        <v>44963</v>
      </c>
      <c r="H66" s="39">
        <v>44963</v>
      </c>
      <c r="I66" s="39">
        <v>45694</v>
      </c>
      <c r="J66" s="83" t="s">
        <v>27</v>
      </c>
      <c r="K66" s="40" t="s">
        <v>781</v>
      </c>
      <c r="L66" s="41" t="s">
        <v>32</v>
      </c>
      <c r="M66" s="35" t="s">
        <v>40</v>
      </c>
    </row>
    <row r="67" spans="1:13" ht="96" customHeight="1">
      <c r="A67" s="96" t="str">
        <f t="shared" si="1"/>
        <v>23EB0042CONTRACTOR'S ALL RISK POLICY</v>
      </c>
      <c r="B67" s="136">
        <v>53</v>
      </c>
      <c r="C67" s="42" t="s">
        <v>43</v>
      </c>
      <c r="D67" s="36" t="s">
        <v>779</v>
      </c>
      <c r="E67" s="37" t="s">
        <v>780</v>
      </c>
      <c r="F67" s="38">
        <v>9256828.7899999991</v>
      </c>
      <c r="G67" s="39">
        <v>44965</v>
      </c>
      <c r="H67" s="39">
        <v>44965</v>
      </c>
      <c r="I67" s="39">
        <v>45330</v>
      </c>
      <c r="J67" s="83" t="s">
        <v>30</v>
      </c>
      <c r="K67" s="40" t="s">
        <v>782</v>
      </c>
      <c r="L67" s="41" t="s">
        <v>32</v>
      </c>
      <c r="M67" s="35" t="s">
        <v>31</v>
      </c>
    </row>
    <row r="68" spans="1:13" ht="129" customHeight="1">
      <c r="A68" s="96" t="str">
        <f t="shared" si="1"/>
        <v>23EB0043-R1PERFORMANCE BOND</v>
      </c>
      <c r="B68" s="136">
        <v>53</v>
      </c>
      <c r="C68" s="42" t="s">
        <v>43</v>
      </c>
      <c r="D68" s="36" t="s">
        <v>783</v>
      </c>
      <c r="E68" s="37" t="s">
        <v>784</v>
      </c>
      <c r="F68" s="38">
        <v>1470823.62</v>
      </c>
      <c r="G68" s="39">
        <v>44963</v>
      </c>
      <c r="H68" s="39">
        <v>44963</v>
      </c>
      <c r="I68" s="39">
        <v>45694</v>
      </c>
      <c r="J68" s="83" t="s">
        <v>27</v>
      </c>
      <c r="K68" s="40" t="s">
        <v>785</v>
      </c>
      <c r="L68" s="41" t="s">
        <v>32</v>
      </c>
      <c r="M68" s="35" t="s">
        <v>40</v>
      </c>
    </row>
    <row r="69" spans="1:13" ht="129" customHeight="1">
      <c r="A69" s="96" t="str">
        <f t="shared" si="1"/>
        <v>23EB0043-R1CONTRACTOR'S ALL RISK POLICY</v>
      </c>
      <c r="B69" s="136">
        <v>53</v>
      </c>
      <c r="C69" s="42" t="s">
        <v>43</v>
      </c>
      <c r="D69" s="36" t="s">
        <v>783</v>
      </c>
      <c r="E69" s="37" t="s">
        <v>784</v>
      </c>
      <c r="F69" s="38">
        <v>4902745.3899999997</v>
      </c>
      <c r="G69" s="39">
        <v>44965</v>
      </c>
      <c r="H69" s="39">
        <v>44965</v>
      </c>
      <c r="I69" s="39">
        <v>45330</v>
      </c>
      <c r="J69" s="83" t="s">
        <v>30</v>
      </c>
      <c r="K69" s="40" t="s">
        <v>786</v>
      </c>
      <c r="L69" s="41" t="s">
        <v>32</v>
      </c>
      <c r="M69" s="35" t="s">
        <v>31</v>
      </c>
    </row>
    <row r="70" spans="1:13" ht="96" customHeight="1">
      <c r="A70" s="96" t="str">
        <f t="shared" si="1"/>
        <v>23EB0049PERFORMANCE BOND</v>
      </c>
      <c r="B70" s="136">
        <v>57</v>
      </c>
      <c r="C70" s="42" t="s">
        <v>75</v>
      </c>
      <c r="D70" s="36" t="s">
        <v>787</v>
      </c>
      <c r="E70" s="37" t="s">
        <v>788</v>
      </c>
      <c r="F70" s="38">
        <v>2909163.23</v>
      </c>
      <c r="G70" s="39">
        <v>44963</v>
      </c>
      <c r="H70" s="39">
        <v>44963</v>
      </c>
      <c r="I70" s="39">
        <v>45694</v>
      </c>
      <c r="J70" s="83" t="s">
        <v>27</v>
      </c>
      <c r="K70" s="40" t="s">
        <v>789</v>
      </c>
      <c r="L70" s="41" t="s">
        <v>32</v>
      </c>
      <c r="M70" s="35" t="s">
        <v>40</v>
      </c>
    </row>
    <row r="71" spans="1:13" ht="96" customHeight="1">
      <c r="A71" s="96" t="str">
        <f t="shared" si="1"/>
        <v>23EB0049CONTRACTOR'S ALL RISK POLICY</v>
      </c>
      <c r="B71" s="136">
        <v>57</v>
      </c>
      <c r="C71" s="42" t="s">
        <v>75</v>
      </c>
      <c r="D71" s="36" t="s">
        <v>787</v>
      </c>
      <c r="E71" s="37" t="s">
        <v>788</v>
      </c>
      <c r="F71" s="38">
        <v>9697210.75</v>
      </c>
      <c r="G71" s="39">
        <v>44965</v>
      </c>
      <c r="H71" s="39">
        <v>44965</v>
      </c>
      <c r="I71" s="39">
        <v>45330</v>
      </c>
      <c r="J71" s="83" t="s">
        <v>30</v>
      </c>
      <c r="K71" s="40" t="s">
        <v>790</v>
      </c>
      <c r="L71" s="41" t="s">
        <v>32</v>
      </c>
      <c r="M71" s="35" t="s">
        <v>31</v>
      </c>
    </row>
    <row r="72" spans="1:13" ht="96" customHeight="1">
      <c r="A72" s="96" t="str">
        <f t="shared" si="1"/>
        <v>23EB0060CONTRACTOR'S ALL RISK POLICY</v>
      </c>
      <c r="B72" s="136">
        <v>57</v>
      </c>
      <c r="C72" s="42" t="s">
        <v>75</v>
      </c>
      <c r="D72" s="36" t="s">
        <v>791</v>
      </c>
      <c r="E72" s="37" t="s">
        <v>792</v>
      </c>
      <c r="F72" s="38">
        <v>4848876.6100000003</v>
      </c>
      <c r="G72" s="39">
        <v>44965</v>
      </c>
      <c r="H72" s="39">
        <v>44965</v>
      </c>
      <c r="I72" s="39">
        <v>45330</v>
      </c>
      <c r="J72" s="83" t="s">
        <v>30</v>
      </c>
      <c r="K72" s="40" t="s">
        <v>793</v>
      </c>
      <c r="L72" s="41" t="s">
        <v>32</v>
      </c>
      <c r="M72" s="35" t="s">
        <v>31</v>
      </c>
    </row>
    <row r="73" spans="1:13" ht="96" customHeight="1">
      <c r="A73" s="96" t="str">
        <f t="shared" si="1"/>
        <v>23EB0060PERFORMANCE BOND</v>
      </c>
      <c r="B73" s="136">
        <v>57</v>
      </c>
      <c r="C73" s="42" t="s">
        <v>75</v>
      </c>
      <c r="D73" s="36" t="s">
        <v>791</v>
      </c>
      <c r="E73" s="37" t="s">
        <v>792</v>
      </c>
      <c r="F73" s="38">
        <v>1454662.98</v>
      </c>
      <c r="G73" s="39">
        <v>44963</v>
      </c>
      <c r="H73" s="39">
        <v>44963</v>
      </c>
      <c r="I73" s="39">
        <v>45694</v>
      </c>
      <c r="J73" s="83" t="s">
        <v>27</v>
      </c>
      <c r="K73" s="40" t="s">
        <v>794</v>
      </c>
      <c r="L73" s="41" t="s">
        <v>32</v>
      </c>
      <c r="M73" s="35" t="s">
        <v>40</v>
      </c>
    </row>
    <row r="74" spans="1:13" ht="109.5" customHeight="1">
      <c r="A74" s="96" t="str">
        <f t="shared" si="1"/>
        <v>23EB0003ADVANCE PAYMENT BOND</v>
      </c>
      <c r="B74" s="136">
        <v>61</v>
      </c>
      <c r="C74" s="42" t="s">
        <v>75</v>
      </c>
      <c r="D74" s="36" t="s">
        <v>795</v>
      </c>
      <c r="E74" s="37" t="s">
        <v>796</v>
      </c>
      <c r="F74" s="38">
        <v>4606009</v>
      </c>
      <c r="G74" s="39">
        <v>44972</v>
      </c>
      <c r="H74" s="39">
        <v>44972</v>
      </c>
      <c r="I74" s="39">
        <v>45337</v>
      </c>
      <c r="J74" s="83" t="s">
        <v>30</v>
      </c>
      <c r="K74" s="40" t="s">
        <v>797</v>
      </c>
      <c r="L74" s="41" t="s">
        <v>35</v>
      </c>
      <c r="M74" s="35" t="s">
        <v>34</v>
      </c>
    </row>
    <row r="75" spans="1:13" ht="109.5" customHeight="1">
      <c r="A75" s="96" t="str">
        <f t="shared" si="1"/>
        <v>23EB0003PERFORMANCE BOND</v>
      </c>
      <c r="B75" s="136">
        <v>61</v>
      </c>
      <c r="C75" s="42" t="s">
        <v>75</v>
      </c>
      <c r="D75" s="36" t="s">
        <v>795</v>
      </c>
      <c r="E75" s="37" t="s">
        <v>796</v>
      </c>
      <c r="F75" s="38">
        <v>9212017.5</v>
      </c>
      <c r="G75" s="39">
        <v>44963</v>
      </c>
      <c r="H75" s="39">
        <v>44963</v>
      </c>
      <c r="I75" s="39">
        <v>45694</v>
      </c>
      <c r="J75" s="83" t="s">
        <v>27</v>
      </c>
      <c r="K75" s="40" t="s">
        <v>798</v>
      </c>
      <c r="L75" s="41" t="s">
        <v>35</v>
      </c>
      <c r="M75" s="35" t="s">
        <v>40</v>
      </c>
    </row>
    <row r="76" spans="1:13" ht="109.5" customHeight="1">
      <c r="A76" s="96" t="str">
        <f t="shared" si="1"/>
        <v>23EB0003CONTRACTOR'S ALL RISK POLICY</v>
      </c>
      <c r="B76" s="136">
        <v>61</v>
      </c>
      <c r="C76" s="42" t="s">
        <v>75</v>
      </c>
      <c r="D76" s="36" t="s">
        <v>795</v>
      </c>
      <c r="E76" s="37" t="s">
        <v>796</v>
      </c>
      <c r="F76" s="38">
        <v>30706724.199999999</v>
      </c>
      <c r="G76" s="39">
        <v>44972</v>
      </c>
      <c r="H76" s="39">
        <v>44972</v>
      </c>
      <c r="I76" s="39">
        <v>45337</v>
      </c>
      <c r="J76" s="83" t="s">
        <v>30</v>
      </c>
      <c r="K76" s="40" t="s">
        <v>799</v>
      </c>
      <c r="L76" s="41" t="s">
        <v>35</v>
      </c>
      <c r="M76" s="35" t="s">
        <v>31</v>
      </c>
    </row>
    <row r="77" spans="1:13" ht="109.5" customHeight="1">
      <c r="A77" s="96" t="str">
        <f t="shared" si="1"/>
        <v>23EB0038ADVANCE PAYMENT BOND</v>
      </c>
      <c r="B77" s="136">
        <v>64</v>
      </c>
      <c r="C77" s="42" t="s">
        <v>802</v>
      </c>
      <c r="D77" s="36" t="s">
        <v>801</v>
      </c>
      <c r="E77" s="37" t="s">
        <v>967</v>
      </c>
      <c r="F77" s="38">
        <v>7158019.1900000004</v>
      </c>
      <c r="G77" s="39">
        <v>44967</v>
      </c>
      <c r="H77" s="39">
        <v>44967</v>
      </c>
      <c r="I77" s="39">
        <v>45332</v>
      </c>
      <c r="J77" s="83" t="s">
        <v>30</v>
      </c>
      <c r="K77" s="40" t="s">
        <v>803</v>
      </c>
      <c r="L77" s="41" t="s">
        <v>69</v>
      </c>
      <c r="M77" s="35" t="s">
        <v>34</v>
      </c>
    </row>
    <row r="78" spans="1:13" ht="109.5" customHeight="1">
      <c r="A78" s="96" t="str">
        <f t="shared" si="1"/>
        <v>23EB0045ADVANCE PAYMENT BOND</v>
      </c>
      <c r="B78" s="136">
        <v>64</v>
      </c>
      <c r="C78" s="42" t="s">
        <v>44</v>
      </c>
      <c r="D78" s="36" t="s">
        <v>804</v>
      </c>
      <c r="E78" s="37" t="s">
        <v>805</v>
      </c>
      <c r="F78" s="38">
        <v>727376.3</v>
      </c>
      <c r="G78" s="39">
        <v>44967</v>
      </c>
      <c r="H78" s="39">
        <v>44967</v>
      </c>
      <c r="I78" s="39">
        <v>45332</v>
      </c>
      <c r="J78" s="83" t="s">
        <v>30</v>
      </c>
      <c r="K78" s="40" t="s">
        <v>806</v>
      </c>
      <c r="L78" s="41" t="s">
        <v>69</v>
      </c>
      <c r="M78" s="35" t="s">
        <v>34</v>
      </c>
    </row>
    <row r="79" spans="1:13" ht="109.5" customHeight="1">
      <c r="A79" s="96" t="str">
        <f t="shared" si="1"/>
        <v>23EB0018ADVANCE PAYMENT BOND</v>
      </c>
      <c r="B79" s="136">
        <v>64</v>
      </c>
      <c r="C79" s="42" t="s">
        <v>807</v>
      </c>
      <c r="D79" s="36" t="s">
        <v>808</v>
      </c>
      <c r="E79" s="37" t="s">
        <v>809</v>
      </c>
      <c r="F79" s="38">
        <v>2566628.4500000002</v>
      </c>
      <c r="G79" s="39">
        <v>44967</v>
      </c>
      <c r="H79" s="39">
        <v>44967</v>
      </c>
      <c r="I79" s="39">
        <v>45332</v>
      </c>
      <c r="J79" s="83" t="s">
        <v>30</v>
      </c>
      <c r="K79" s="40" t="s">
        <v>810</v>
      </c>
      <c r="L79" s="41" t="s">
        <v>69</v>
      </c>
      <c r="M79" s="35" t="s">
        <v>34</v>
      </c>
    </row>
    <row r="80" spans="1:13" ht="109.5" customHeight="1">
      <c r="A80" s="96" t="str">
        <f t="shared" si="1"/>
        <v>23EB0024ADVANCE PAYMENT BOND</v>
      </c>
      <c r="B80" s="136">
        <v>64</v>
      </c>
      <c r="C80" s="42" t="s">
        <v>44</v>
      </c>
      <c r="D80" s="36" t="s">
        <v>811</v>
      </c>
      <c r="E80" s="37" t="s">
        <v>812</v>
      </c>
      <c r="F80" s="38">
        <v>6694357.9800000004</v>
      </c>
      <c r="G80" s="39">
        <v>44967</v>
      </c>
      <c r="H80" s="39">
        <v>44967</v>
      </c>
      <c r="I80" s="39">
        <v>45332</v>
      </c>
      <c r="J80" s="83" t="s">
        <v>30</v>
      </c>
      <c r="K80" s="40" t="s">
        <v>813</v>
      </c>
      <c r="L80" s="41" t="s">
        <v>69</v>
      </c>
      <c r="M80" s="35" t="s">
        <v>34</v>
      </c>
    </row>
    <row r="81" spans="1:13" ht="109.5" customHeight="1">
      <c r="A81" s="96" t="str">
        <f t="shared" si="1"/>
        <v>23EB0050ADVANCE PAYMENT BOND</v>
      </c>
      <c r="B81" s="136">
        <v>64</v>
      </c>
      <c r="C81" s="42" t="s">
        <v>44</v>
      </c>
      <c r="D81" s="36" t="s">
        <v>814</v>
      </c>
      <c r="E81" s="37" t="s">
        <v>815</v>
      </c>
      <c r="F81" s="38">
        <v>734049.95</v>
      </c>
      <c r="G81" s="39">
        <v>44967</v>
      </c>
      <c r="H81" s="39">
        <v>44967</v>
      </c>
      <c r="I81" s="39">
        <v>45332</v>
      </c>
      <c r="J81" s="83" t="s">
        <v>30</v>
      </c>
      <c r="K81" s="40" t="s">
        <v>816</v>
      </c>
      <c r="L81" s="41" t="s">
        <v>69</v>
      </c>
      <c r="M81" s="35" t="s">
        <v>34</v>
      </c>
    </row>
    <row r="82" spans="1:13" ht="109.5" customHeight="1">
      <c r="A82" s="96" t="str">
        <f t="shared" si="1"/>
        <v>23EB0046ADVANCE PAYMENT BOND</v>
      </c>
      <c r="B82" s="136">
        <v>64</v>
      </c>
      <c r="C82" s="42" t="s">
        <v>75</v>
      </c>
      <c r="D82" s="36" t="s">
        <v>817</v>
      </c>
      <c r="E82" s="37" t="s">
        <v>818</v>
      </c>
      <c r="F82" s="38">
        <v>1018408.55</v>
      </c>
      <c r="G82" s="39">
        <v>44967</v>
      </c>
      <c r="H82" s="39">
        <v>44967</v>
      </c>
      <c r="I82" s="39">
        <v>45332</v>
      </c>
      <c r="J82" s="83" t="s">
        <v>30</v>
      </c>
      <c r="K82" s="40" t="s">
        <v>819</v>
      </c>
      <c r="L82" s="41" t="s">
        <v>69</v>
      </c>
      <c r="M82" s="35" t="s">
        <v>34</v>
      </c>
    </row>
    <row r="83" spans="1:13" ht="109.5" customHeight="1">
      <c r="A83" s="96" t="str">
        <f t="shared" si="1"/>
        <v>23EB0015-R1ADVANCE PAYMENT BOND</v>
      </c>
      <c r="B83" s="136">
        <v>64</v>
      </c>
      <c r="C83" s="42" t="s">
        <v>802</v>
      </c>
      <c r="D83" s="36" t="s">
        <v>820</v>
      </c>
      <c r="E83" s="37" t="s">
        <v>821</v>
      </c>
      <c r="F83" s="38">
        <v>7239715.9500000002</v>
      </c>
      <c r="G83" s="39">
        <v>44967</v>
      </c>
      <c r="H83" s="39">
        <v>44967</v>
      </c>
      <c r="I83" s="39">
        <v>45332</v>
      </c>
      <c r="J83" s="83" t="s">
        <v>30</v>
      </c>
      <c r="K83" s="40" t="s">
        <v>822</v>
      </c>
      <c r="L83" s="41" t="s">
        <v>69</v>
      </c>
      <c r="M83" s="35" t="s">
        <v>34</v>
      </c>
    </row>
    <row r="84" spans="1:13" ht="109.5" customHeight="1">
      <c r="A84" s="96" t="str">
        <f t="shared" si="1"/>
        <v>23EB0012ADVANCE PAYMENT BOND</v>
      </c>
      <c r="B84" s="136">
        <v>64</v>
      </c>
      <c r="C84" s="42" t="s">
        <v>44</v>
      </c>
      <c r="D84" s="36" t="s">
        <v>823</v>
      </c>
      <c r="E84" s="37" t="s">
        <v>824</v>
      </c>
      <c r="F84" s="38">
        <v>2877484.35</v>
      </c>
      <c r="G84" s="39">
        <v>44967</v>
      </c>
      <c r="H84" s="39">
        <v>44967</v>
      </c>
      <c r="I84" s="39">
        <v>45332</v>
      </c>
      <c r="J84" s="83" t="s">
        <v>30</v>
      </c>
      <c r="K84" s="40" t="s">
        <v>825</v>
      </c>
      <c r="L84" s="41" t="s">
        <v>69</v>
      </c>
      <c r="M84" s="35" t="s">
        <v>34</v>
      </c>
    </row>
    <row r="85" spans="1:13" ht="109.5" customHeight="1">
      <c r="A85" s="96" t="str">
        <f t="shared" si="1"/>
        <v>23EB0058CONTRACTOR'S ALL RISK POLICY</v>
      </c>
      <c r="B85" s="136">
        <v>64</v>
      </c>
      <c r="C85" s="42" t="s">
        <v>826</v>
      </c>
      <c r="D85" s="36" t="s">
        <v>827</v>
      </c>
      <c r="E85" s="37" t="s">
        <v>828</v>
      </c>
      <c r="F85" s="38">
        <v>4826288.1100000003</v>
      </c>
      <c r="G85" s="39">
        <v>44958</v>
      </c>
      <c r="H85" s="39">
        <v>44958</v>
      </c>
      <c r="I85" s="39">
        <v>45323</v>
      </c>
      <c r="J85" s="83" t="s">
        <v>30</v>
      </c>
      <c r="K85" s="40" t="s">
        <v>829</v>
      </c>
      <c r="L85" s="41" t="s">
        <v>69</v>
      </c>
      <c r="M85" s="35" t="s">
        <v>31</v>
      </c>
    </row>
    <row r="86" spans="1:13" ht="109.5" customHeight="1">
      <c r="A86" s="96" t="str">
        <f t="shared" si="1"/>
        <v>23EB0045CONTRACTOR'S ALL RISK POLICY</v>
      </c>
      <c r="B86" s="136">
        <v>64</v>
      </c>
      <c r="C86" s="42" t="s">
        <v>44</v>
      </c>
      <c r="D86" s="36" t="s">
        <v>804</v>
      </c>
      <c r="E86" s="37" t="s">
        <v>805</v>
      </c>
      <c r="F86" s="38">
        <v>4849175.33</v>
      </c>
      <c r="G86" s="39">
        <v>44958</v>
      </c>
      <c r="H86" s="39">
        <v>44958</v>
      </c>
      <c r="I86" s="39">
        <v>45323</v>
      </c>
      <c r="J86" s="83" t="s">
        <v>30</v>
      </c>
      <c r="K86" s="40" t="s">
        <v>830</v>
      </c>
      <c r="L86" s="41" t="s">
        <v>69</v>
      </c>
      <c r="M86" s="35" t="s">
        <v>31</v>
      </c>
    </row>
    <row r="87" spans="1:13" ht="109.5" customHeight="1">
      <c r="A87" s="96" t="str">
        <f t="shared" si="1"/>
        <v>23EB0045CONTRACTOR'S ALL RISK POLICY</v>
      </c>
      <c r="B87" s="136">
        <v>64</v>
      </c>
      <c r="C87" s="42" t="s">
        <v>44</v>
      </c>
      <c r="D87" s="36" t="s">
        <v>804</v>
      </c>
      <c r="E87" s="37" t="s">
        <v>805</v>
      </c>
      <c r="F87" s="38">
        <v>4849175.33</v>
      </c>
      <c r="G87" s="39">
        <v>44958</v>
      </c>
      <c r="H87" s="39">
        <v>44958</v>
      </c>
      <c r="I87" s="39">
        <v>45323</v>
      </c>
      <c r="J87" s="83" t="s">
        <v>30</v>
      </c>
      <c r="K87" s="40" t="s">
        <v>830</v>
      </c>
      <c r="L87" s="41" t="s">
        <v>69</v>
      </c>
      <c r="M87" s="35" t="s">
        <v>31</v>
      </c>
    </row>
    <row r="88" spans="1:13" ht="96" customHeight="1">
      <c r="A88" s="96" t="str">
        <f t="shared" si="1"/>
        <v>23EB0058PERFORMANCE BOND</v>
      </c>
      <c r="B88" s="136">
        <v>75</v>
      </c>
      <c r="C88" s="42" t="s">
        <v>826</v>
      </c>
      <c r="D88" s="36" t="s">
        <v>827</v>
      </c>
      <c r="E88" s="37" t="s">
        <v>828</v>
      </c>
      <c r="F88" s="38">
        <v>1447886.45</v>
      </c>
      <c r="G88" s="39">
        <v>44958</v>
      </c>
      <c r="H88" s="39">
        <v>44958</v>
      </c>
      <c r="I88" s="39">
        <v>45689</v>
      </c>
      <c r="J88" s="83" t="s">
        <v>30</v>
      </c>
      <c r="K88" s="40" t="s">
        <v>831</v>
      </c>
      <c r="L88" s="41" t="s">
        <v>69</v>
      </c>
      <c r="M88" s="35" t="s">
        <v>40</v>
      </c>
    </row>
    <row r="89" spans="1:13" ht="96" customHeight="1">
      <c r="A89" s="96" t="str">
        <f t="shared" si="1"/>
        <v>23EB0050PERFORMANCE BOND</v>
      </c>
      <c r="B89" s="136">
        <v>75</v>
      </c>
      <c r="C89" s="42" t="s">
        <v>44</v>
      </c>
      <c r="D89" s="36" t="s">
        <v>814</v>
      </c>
      <c r="E89" s="37" t="s">
        <v>815</v>
      </c>
      <c r="F89" s="38">
        <v>1468099.85</v>
      </c>
      <c r="G89" s="39">
        <v>44958</v>
      </c>
      <c r="H89" s="39">
        <v>44958</v>
      </c>
      <c r="I89" s="39">
        <v>45689</v>
      </c>
      <c r="J89" s="83" t="s">
        <v>27</v>
      </c>
      <c r="K89" s="40" t="s">
        <v>832</v>
      </c>
      <c r="L89" s="41" t="s">
        <v>69</v>
      </c>
      <c r="M89" s="35" t="s">
        <v>40</v>
      </c>
    </row>
    <row r="90" spans="1:13" ht="96" customHeight="1">
      <c r="A90" s="96" t="str">
        <f t="shared" si="1"/>
        <v>23EB0050CONTRACTOR'S ALL RISK POLICY</v>
      </c>
      <c r="B90" s="136">
        <v>75</v>
      </c>
      <c r="C90" s="42" t="s">
        <v>44</v>
      </c>
      <c r="D90" s="36" t="s">
        <v>814</v>
      </c>
      <c r="E90" s="37" t="s">
        <v>815</v>
      </c>
      <c r="F90" s="38">
        <v>489366.04</v>
      </c>
      <c r="G90" s="39">
        <v>44958</v>
      </c>
      <c r="H90" s="39">
        <v>44958</v>
      </c>
      <c r="I90" s="39">
        <v>45323</v>
      </c>
      <c r="J90" s="83" t="s">
        <v>30</v>
      </c>
      <c r="K90" s="40" t="s">
        <v>833</v>
      </c>
      <c r="L90" s="41" t="s">
        <v>69</v>
      </c>
      <c r="M90" s="35" t="s">
        <v>31</v>
      </c>
    </row>
    <row r="91" spans="1:13" ht="109.5" customHeight="1">
      <c r="A91" s="96" t="str">
        <f t="shared" si="1"/>
        <v>23EB0038CONTRACTOR'S ALL RISK POLICY</v>
      </c>
      <c r="B91" s="136">
        <v>78</v>
      </c>
      <c r="C91" s="42" t="s">
        <v>802</v>
      </c>
      <c r="D91" s="36" t="s">
        <v>801</v>
      </c>
      <c r="E91" s="37" t="s">
        <v>800</v>
      </c>
      <c r="F91" s="38">
        <v>47720127.920000002</v>
      </c>
      <c r="G91" s="39">
        <v>44959</v>
      </c>
      <c r="H91" s="39">
        <v>44959</v>
      </c>
      <c r="I91" s="39">
        <v>45324</v>
      </c>
      <c r="J91" s="83" t="s">
        <v>30</v>
      </c>
      <c r="K91" s="40" t="s">
        <v>834</v>
      </c>
      <c r="L91" s="41" t="s">
        <v>69</v>
      </c>
      <c r="M91" s="35" t="s">
        <v>31</v>
      </c>
    </row>
    <row r="92" spans="1:13" ht="109.5" customHeight="1">
      <c r="A92" s="96" t="str">
        <f t="shared" si="1"/>
        <v>23EB0046CONTRACTOR'S ALL RISK POLICY</v>
      </c>
      <c r="B92" s="136">
        <v>78</v>
      </c>
      <c r="C92" s="42" t="s">
        <v>75</v>
      </c>
      <c r="D92" s="36" t="s">
        <v>817</v>
      </c>
      <c r="E92" s="37" t="s">
        <v>818</v>
      </c>
      <c r="F92" s="38">
        <v>4826288.1100000003</v>
      </c>
      <c r="G92" s="39">
        <v>44958</v>
      </c>
      <c r="H92" s="39">
        <v>44958</v>
      </c>
      <c r="I92" s="39">
        <v>45323</v>
      </c>
      <c r="J92" s="83" t="s">
        <v>30</v>
      </c>
      <c r="K92" s="40" t="s">
        <v>835</v>
      </c>
      <c r="L92" s="41" t="s">
        <v>69</v>
      </c>
      <c r="M92" s="35" t="s">
        <v>31</v>
      </c>
    </row>
    <row r="93" spans="1:13" ht="109.5" customHeight="1">
      <c r="A93" s="96" t="str">
        <f t="shared" si="1"/>
        <v>23EB0046PERFORMANCE BOND</v>
      </c>
      <c r="B93" s="136">
        <v>78</v>
      </c>
      <c r="C93" s="42" t="s">
        <v>75</v>
      </c>
      <c r="D93" s="36" t="s">
        <v>817</v>
      </c>
      <c r="E93" s="37" t="s">
        <v>818</v>
      </c>
      <c r="F93" s="38">
        <v>2036817.05</v>
      </c>
      <c r="G93" s="39">
        <v>44958</v>
      </c>
      <c r="H93" s="39">
        <v>44958</v>
      </c>
      <c r="I93" s="39">
        <v>45689</v>
      </c>
      <c r="J93" s="83" t="s">
        <v>27</v>
      </c>
      <c r="K93" s="40" t="s">
        <v>836</v>
      </c>
      <c r="L93" s="41" t="s">
        <v>69</v>
      </c>
      <c r="M93" s="35" t="s">
        <v>40</v>
      </c>
    </row>
    <row r="94" spans="1:13" ht="109.5" customHeight="1">
      <c r="A94" s="96" t="str">
        <f t="shared" si="1"/>
        <v>23EB0015-R1CONTRACTOR'S ALL RISK POLICY</v>
      </c>
      <c r="B94" s="136">
        <v>64</v>
      </c>
      <c r="C94" s="42" t="s">
        <v>802</v>
      </c>
      <c r="D94" s="36" t="s">
        <v>820</v>
      </c>
      <c r="E94" s="37" t="s">
        <v>821</v>
      </c>
      <c r="F94" s="38">
        <v>48264773.020000003</v>
      </c>
      <c r="G94" s="39">
        <v>44959</v>
      </c>
      <c r="H94" s="39">
        <v>44959</v>
      </c>
      <c r="I94" s="39">
        <v>45324</v>
      </c>
      <c r="J94" s="83" t="s">
        <v>30</v>
      </c>
      <c r="K94" s="40" t="s">
        <v>837</v>
      </c>
      <c r="L94" s="41" t="s">
        <v>69</v>
      </c>
      <c r="M94" s="35" t="s">
        <v>31</v>
      </c>
    </row>
    <row r="95" spans="1:13" ht="109.5" customHeight="1">
      <c r="A95" s="96" t="str">
        <f t="shared" si="1"/>
        <v>23EB0015-R1PERFORMANCE BOND</v>
      </c>
      <c r="B95" s="136">
        <v>64</v>
      </c>
      <c r="C95" s="42" t="s">
        <v>802</v>
      </c>
      <c r="D95" s="36" t="s">
        <v>820</v>
      </c>
      <c r="E95" s="37" t="s">
        <v>821</v>
      </c>
      <c r="F95" s="38">
        <v>14479431.949999999</v>
      </c>
      <c r="G95" s="39">
        <v>44959</v>
      </c>
      <c r="H95" s="39">
        <v>44959</v>
      </c>
      <c r="I95" s="39">
        <v>45690</v>
      </c>
      <c r="J95" s="83" t="s">
        <v>30</v>
      </c>
      <c r="K95" s="40" t="s">
        <v>838</v>
      </c>
      <c r="L95" s="41" t="s">
        <v>69</v>
      </c>
      <c r="M95" s="35" t="s">
        <v>40</v>
      </c>
    </row>
    <row r="96" spans="1:13" ht="109.5" customHeight="1">
      <c r="A96" s="96" t="str">
        <f t="shared" si="1"/>
        <v>23EB0012CONTRACTOR'S ALL RISK POLICY</v>
      </c>
      <c r="B96" s="136">
        <v>64</v>
      </c>
      <c r="C96" s="42" t="s">
        <v>44</v>
      </c>
      <c r="D96" s="36" t="s">
        <v>823</v>
      </c>
      <c r="E96" s="37" t="s">
        <v>824</v>
      </c>
      <c r="F96" s="38">
        <v>19183228.84</v>
      </c>
      <c r="G96" s="39">
        <v>44958</v>
      </c>
      <c r="H96" s="39">
        <v>44958</v>
      </c>
      <c r="I96" s="39">
        <v>45323</v>
      </c>
      <c r="J96" s="83" t="s">
        <v>30</v>
      </c>
      <c r="K96" s="40" t="s">
        <v>839</v>
      </c>
      <c r="L96" s="41" t="s">
        <v>69</v>
      </c>
      <c r="M96" s="35" t="s">
        <v>31</v>
      </c>
    </row>
    <row r="97" spans="1:13" ht="109.5" customHeight="1">
      <c r="A97" s="96" t="str">
        <f t="shared" si="1"/>
        <v>23EB0012PERFORMANCE BOND</v>
      </c>
      <c r="B97" s="136">
        <v>64</v>
      </c>
      <c r="C97" s="42" t="s">
        <v>44</v>
      </c>
      <c r="D97" s="36" t="s">
        <v>823</v>
      </c>
      <c r="E97" s="37" t="s">
        <v>824</v>
      </c>
      <c r="F97" s="38">
        <v>5754968.7000000002</v>
      </c>
      <c r="G97" s="39">
        <v>44958</v>
      </c>
      <c r="H97" s="39">
        <v>44958</v>
      </c>
      <c r="I97" s="39">
        <v>45689</v>
      </c>
      <c r="J97" s="83" t="s">
        <v>27</v>
      </c>
      <c r="K97" s="40" t="s">
        <v>840</v>
      </c>
      <c r="L97" s="41" t="s">
        <v>69</v>
      </c>
      <c r="M97" s="35" t="s">
        <v>40</v>
      </c>
    </row>
    <row r="98" spans="1:13" ht="109.5" customHeight="1">
      <c r="A98" s="96" t="str">
        <f t="shared" si="1"/>
        <v>23EB0038PERFORMANCE BOND</v>
      </c>
      <c r="B98" s="136">
        <v>78</v>
      </c>
      <c r="C98" s="42" t="s">
        <v>802</v>
      </c>
      <c r="D98" s="36" t="s">
        <v>801</v>
      </c>
      <c r="E98" s="37" t="s">
        <v>800</v>
      </c>
      <c r="F98" s="38">
        <v>14316038.380000001</v>
      </c>
      <c r="G98" s="39">
        <v>44959</v>
      </c>
      <c r="H98" s="39">
        <v>44959</v>
      </c>
      <c r="I98" s="39">
        <v>45690</v>
      </c>
      <c r="J98" s="83" t="s">
        <v>27</v>
      </c>
      <c r="K98" s="40" t="s">
        <v>841</v>
      </c>
      <c r="L98" s="41" t="s">
        <v>69</v>
      </c>
      <c r="M98" s="35" t="s">
        <v>40</v>
      </c>
    </row>
    <row r="99" spans="1:13" ht="109.5" customHeight="1">
      <c r="A99" s="96" t="str">
        <f t="shared" si="1"/>
        <v>23EB0045PERFORMANCE BOND</v>
      </c>
      <c r="B99" s="136">
        <v>64</v>
      </c>
      <c r="C99" s="42" t="s">
        <v>44</v>
      </c>
      <c r="D99" s="36" t="s">
        <v>804</v>
      </c>
      <c r="E99" s="37" t="s">
        <v>805</v>
      </c>
      <c r="F99" s="38">
        <v>1454752.65</v>
      </c>
      <c r="G99" s="39">
        <v>44958</v>
      </c>
      <c r="H99" s="39">
        <v>44958</v>
      </c>
      <c r="I99" s="39">
        <v>45689</v>
      </c>
      <c r="J99" s="83" t="s">
        <v>27</v>
      </c>
      <c r="K99" s="40" t="s">
        <v>842</v>
      </c>
      <c r="L99" s="41" t="s">
        <v>69</v>
      </c>
      <c r="M99" s="35" t="s">
        <v>40</v>
      </c>
    </row>
    <row r="100" spans="1:13" ht="109.5" customHeight="1">
      <c r="A100" s="96" t="str">
        <f t="shared" si="1"/>
        <v>23EB0018CONTRACTOR'S ALL RISK POLICY</v>
      </c>
      <c r="B100" s="136">
        <v>64</v>
      </c>
      <c r="C100" s="42" t="s">
        <v>807</v>
      </c>
      <c r="D100" s="36" t="s">
        <v>808</v>
      </c>
      <c r="E100" s="37" t="s">
        <v>809</v>
      </c>
      <c r="F100" s="38">
        <v>17110586.359999999</v>
      </c>
      <c r="G100" s="39">
        <v>44958</v>
      </c>
      <c r="H100" s="39">
        <v>44958</v>
      </c>
      <c r="I100" s="39">
        <v>45323</v>
      </c>
      <c r="J100" s="83" t="s">
        <v>30</v>
      </c>
      <c r="K100" s="40" t="s">
        <v>843</v>
      </c>
      <c r="L100" s="41" t="s">
        <v>69</v>
      </c>
      <c r="M100" s="35" t="s">
        <v>31</v>
      </c>
    </row>
    <row r="101" spans="1:13" ht="109.5" customHeight="1">
      <c r="A101" s="96" t="str">
        <f t="shared" si="1"/>
        <v>23EB0018PERFORMANCE BOND</v>
      </c>
      <c r="B101" s="136">
        <v>64</v>
      </c>
      <c r="C101" s="42" t="s">
        <v>807</v>
      </c>
      <c r="D101" s="36" t="s">
        <v>808</v>
      </c>
      <c r="E101" s="37" t="s">
        <v>809</v>
      </c>
      <c r="F101" s="38">
        <v>5133256.91</v>
      </c>
      <c r="G101" s="39">
        <v>44958</v>
      </c>
      <c r="H101" s="39">
        <v>44958</v>
      </c>
      <c r="I101" s="39">
        <v>45689</v>
      </c>
      <c r="J101" s="83" t="s">
        <v>27</v>
      </c>
      <c r="K101" s="40" t="s">
        <v>844</v>
      </c>
      <c r="L101" s="41" t="s">
        <v>69</v>
      </c>
      <c r="M101" s="35" t="s">
        <v>40</v>
      </c>
    </row>
    <row r="102" spans="1:13" ht="109.5" customHeight="1">
      <c r="A102" s="96" t="str">
        <f t="shared" si="1"/>
        <v>23EB0024PERFORMANCE BOND</v>
      </c>
      <c r="B102" s="136">
        <v>64</v>
      </c>
      <c r="C102" s="42" t="s">
        <v>44</v>
      </c>
      <c r="D102" s="36" t="s">
        <v>811</v>
      </c>
      <c r="E102" s="37" t="s">
        <v>812</v>
      </c>
      <c r="F102" s="38">
        <v>13388715.970000001</v>
      </c>
      <c r="G102" s="39">
        <v>44958</v>
      </c>
      <c r="H102" s="39">
        <v>44958</v>
      </c>
      <c r="I102" s="39">
        <v>45689</v>
      </c>
      <c r="J102" s="83" t="s">
        <v>27</v>
      </c>
      <c r="K102" s="40" t="s">
        <v>845</v>
      </c>
      <c r="L102" s="41" t="s">
        <v>69</v>
      </c>
      <c r="M102" s="35" t="s">
        <v>40</v>
      </c>
    </row>
    <row r="103" spans="1:13" ht="109.5" customHeight="1">
      <c r="A103" s="96" t="str">
        <f t="shared" si="1"/>
        <v>23EB0024CONTRACTOR'S ALL RISK POLICY</v>
      </c>
      <c r="B103" s="136">
        <v>64</v>
      </c>
      <c r="C103" s="42" t="s">
        <v>44</v>
      </c>
      <c r="D103" s="36" t="s">
        <v>811</v>
      </c>
      <c r="E103" s="37" t="s">
        <v>812</v>
      </c>
      <c r="F103" s="38">
        <v>44629053.18</v>
      </c>
      <c r="G103" s="39">
        <v>44958</v>
      </c>
      <c r="H103" s="39">
        <v>44958</v>
      </c>
      <c r="I103" s="39">
        <v>45323</v>
      </c>
      <c r="J103" s="83" t="s">
        <v>30</v>
      </c>
      <c r="K103" s="40" t="s">
        <v>846</v>
      </c>
      <c r="L103" s="41" t="s">
        <v>69</v>
      </c>
      <c r="M103" s="35" t="s">
        <v>31</v>
      </c>
    </row>
    <row r="104" spans="1:13" ht="109.5" customHeight="1">
      <c r="A104" s="96" t="str">
        <f t="shared" si="1"/>
        <v>23EB0066ADVANCE PAYMENT BOND</v>
      </c>
      <c r="B104" s="136">
        <v>91</v>
      </c>
      <c r="C104" s="42" t="s">
        <v>847</v>
      </c>
      <c r="D104" s="36" t="s">
        <v>848</v>
      </c>
      <c r="E104" s="37" t="s">
        <v>849</v>
      </c>
      <c r="F104" s="38">
        <v>1017970.03</v>
      </c>
      <c r="G104" s="39">
        <v>44967</v>
      </c>
      <c r="H104" s="39">
        <v>44967</v>
      </c>
      <c r="I104" s="39">
        <v>45332</v>
      </c>
      <c r="J104" s="83" t="s">
        <v>30</v>
      </c>
      <c r="K104" s="40" t="s">
        <v>850</v>
      </c>
      <c r="L104" s="41" t="s">
        <v>69</v>
      </c>
      <c r="M104" s="35" t="s">
        <v>34</v>
      </c>
    </row>
    <row r="105" spans="1:13" ht="109.5" customHeight="1">
      <c r="A105" s="96" t="str">
        <f t="shared" si="1"/>
        <v>23EB0066CONTRACTOR'S ALL RISK POLICY</v>
      </c>
      <c r="B105" s="136">
        <v>91</v>
      </c>
      <c r="C105" s="42" t="s">
        <v>847</v>
      </c>
      <c r="D105" s="36" t="s">
        <v>848</v>
      </c>
      <c r="E105" s="37" t="s">
        <v>849</v>
      </c>
      <c r="F105" s="38">
        <v>6786466.8700000001</v>
      </c>
      <c r="G105" s="39">
        <v>44960</v>
      </c>
      <c r="H105" s="39">
        <v>44960</v>
      </c>
      <c r="I105" s="39">
        <v>45325</v>
      </c>
      <c r="J105" s="83" t="s">
        <v>30</v>
      </c>
      <c r="K105" s="40" t="s">
        <v>851</v>
      </c>
      <c r="L105" s="41" t="s">
        <v>69</v>
      </c>
      <c r="M105" s="35" t="s">
        <v>31</v>
      </c>
    </row>
    <row r="106" spans="1:13" ht="109.5" customHeight="1">
      <c r="A106" s="96" t="str">
        <f t="shared" si="1"/>
        <v>23EB0066PERFORMANCE BOND</v>
      </c>
      <c r="B106" s="136">
        <v>91</v>
      </c>
      <c r="C106" s="42" t="s">
        <v>847</v>
      </c>
      <c r="D106" s="36" t="s">
        <v>848</v>
      </c>
      <c r="E106" s="37" t="s">
        <v>849</v>
      </c>
      <c r="F106" s="38">
        <v>2035940.1</v>
      </c>
      <c r="G106" s="39">
        <v>44960</v>
      </c>
      <c r="H106" s="39">
        <v>44960</v>
      </c>
      <c r="I106" s="39">
        <v>45691</v>
      </c>
      <c r="J106" s="83" t="s">
        <v>27</v>
      </c>
      <c r="K106" s="40" t="s">
        <v>852</v>
      </c>
      <c r="L106" s="41" t="s">
        <v>69</v>
      </c>
      <c r="M106" s="35" t="s">
        <v>40</v>
      </c>
    </row>
    <row r="107" spans="1:13" ht="109.5" customHeight="1">
      <c r="A107" s="96" t="str">
        <f t="shared" si="1"/>
        <v>23EB0013ADVANCE PAYMENT BOND</v>
      </c>
      <c r="B107" s="136">
        <v>91</v>
      </c>
      <c r="C107" s="42" t="s">
        <v>67</v>
      </c>
      <c r="D107" s="36" t="s">
        <v>853</v>
      </c>
      <c r="E107" s="37" t="s">
        <v>800</v>
      </c>
      <c r="F107" s="38">
        <v>6612635.5999999996</v>
      </c>
      <c r="G107" s="39">
        <v>44972</v>
      </c>
      <c r="H107" s="39">
        <v>44972</v>
      </c>
      <c r="I107" s="39">
        <v>45337</v>
      </c>
      <c r="J107" s="83" t="s">
        <v>30</v>
      </c>
      <c r="K107" s="40" t="s">
        <v>854</v>
      </c>
      <c r="L107" s="41" t="s">
        <v>69</v>
      </c>
      <c r="M107" s="35" t="s">
        <v>34</v>
      </c>
    </row>
    <row r="108" spans="1:13" ht="109.5" customHeight="1">
      <c r="A108" s="96" t="str">
        <f t="shared" si="1"/>
        <v>23EB0021ADVANCE PAYMENT BOND</v>
      </c>
      <c r="B108" s="136">
        <v>91</v>
      </c>
      <c r="C108" s="42" t="s">
        <v>855</v>
      </c>
      <c r="D108" s="36" t="s">
        <v>856</v>
      </c>
      <c r="E108" s="37" t="s">
        <v>857</v>
      </c>
      <c r="F108" s="38">
        <v>6558550.5</v>
      </c>
      <c r="G108" s="39">
        <v>44967</v>
      </c>
      <c r="H108" s="39">
        <v>44967</v>
      </c>
      <c r="I108" s="39">
        <v>45332</v>
      </c>
      <c r="J108" s="83" t="s">
        <v>30</v>
      </c>
      <c r="K108" s="40" t="s">
        <v>858</v>
      </c>
      <c r="L108" s="41" t="s">
        <v>69</v>
      </c>
      <c r="M108" s="35" t="s">
        <v>34</v>
      </c>
    </row>
    <row r="109" spans="1:13" ht="113.25" customHeight="1">
      <c r="A109" s="96" t="str">
        <f t="shared" ref="A109:A115" si="2">D109&amp;M109</f>
        <v>23EB0061ADVANCE PAYMENT BOND</v>
      </c>
      <c r="B109" s="136">
        <v>96</v>
      </c>
      <c r="C109" s="42" t="s">
        <v>859</v>
      </c>
      <c r="D109" s="36" t="s">
        <v>860</v>
      </c>
      <c r="E109" s="37" t="s">
        <v>861</v>
      </c>
      <c r="F109" s="38">
        <v>727587.55</v>
      </c>
      <c r="G109" s="39">
        <v>44958</v>
      </c>
      <c r="H109" s="39">
        <v>44967</v>
      </c>
      <c r="I109" s="39">
        <v>45332</v>
      </c>
      <c r="J109" s="83" t="s">
        <v>30</v>
      </c>
      <c r="K109" s="40" t="s">
        <v>862</v>
      </c>
      <c r="L109" s="41" t="s">
        <v>69</v>
      </c>
      <c r="M109" s="35" t="s">
        <v>34</v>
      </c>
    </row>
    <row r="110" spans="1:13" ht="113.25" customHeight="1">
      <c r="A110" s="96" t="str">
        <f t="shared" si="2"/>
        <v>22EB0039-R1ADVANCE PAYMENT BOND</v>
      </c>
      <c r="B110" s="136">
        <v>97</v>
      </c>
      <c r="C110" s="42" t="s">
        <v>863</v>
      </c>
      <c r="D110" s="36" t="s">
        <v>864</v>
      </c>
      <c r="E110" s="37" t="s">
        <v>865</v>
      </c>
      <c r="F110" s="38">
        <v>7308907.6500000004</v>
      </c>
      <c r="G110" s="39">
        <v>44967</v>
      </c>
      <c r="H110" s="39">
        <v>44967</v>
      </c>
      <c r="I110" s="39">
        <v>45332</v>
      </c>
      <c r="J110" s="83" t="s">
        <v>30</v>
      </c>
      <c r="K110" s="40" t="s">
        <v>866</v>
      </c>
      <c r="L110" s="41" t="s">
        <v>69</v>
      </c>
      <c r="M110" s="35" t="s">
        <v>34</v>
      </c>
    </row>
    <row r="111" spans="1:13" ht="109.5" customHeight="1">
      <c r="A111" s="96" t="str">
        <f t="shared" si="2"/>
        <v>23EB0035ADVANCE PAYMENT BOND</v>
      </c>
      <c r="B111" s="136">
        <v>91</v>
      </c>
      <c r="C111" s="42" t="s">
        <v>847</v>
      </c>
      <c r="D111" s="36" t="s">
        <v>867</v>
      </c>
      <c r="E111" s="37" t="s">
        <v>868</v>
      </c>
      <c r="F111" s="38">
        <v>6692227.9000000004</v>
      </c>
      <c r="G111" s="39">
        <v>44967</v>
      </c>
      <c r="H111" s="39">
        <v>44967</v>
      </c>
      <c r="I111" s="39">
        <v>45332</v>
      </c>
      <c r="J111" s="83" t="s">
        <v>30</v>
      </c>
      <c r="K111" s="40" t="s">
        <v>869</v>
      </c>
      <c r="L111" s="41" t="s">
        <v>69</v>
      </c>
      <c r="M111" s="35" t="s">
        <v>34</v>
      </c>
    </row>
    <row r="112" spans="1:13" ht="109.5" customHeight="1">
      <c r="A112" s="96" t="str">
        <f t="shared" si="2"/>
        <v>23EB0033ADVANCE PAYMENT BOND</v>
      </c>
      <c r="B112" s="136">
        <v>91</v>
      </c>
      <c r="C112" s="42" t="s">
        <v>847</v>
      </c>
      <c r="D112" s="36" t="s">
        <v>870</v>
      </c>
      <c r="E112" s="37" t="s">
        <v>871</v>
      </c>
      <c r="F112" s="38">
        <v>6693171.5999999996</v>
      </c>
      <c r="G112" s="39">
        <v>44967</v>
      </c>
      <c r="H112" s="39">
        <v>44967</v>
      </c>
      <c r="I112" s="39">
        <v>45332</v>
      </c>
      <c r="J112" s="83" t="s">
        <v>30</v>
      </c>
      <c r="K112" s="40" t="s">
        <v>872</v>
      </c>
      <c r="L112" s="41" t="s">
        <v>69</v>
      </c>
      <c r="M112" s="35" t="s">
        <v>34</v>
      </c>
    </row>
    <row r="113" spans="1:13" ht="109.5" customHeight="1">
      <c r="A113" s="96" t="str">
        <f t="shared" si="2"/>
        <v>23EB0011ADVANCE PAYMENT BOND</v>
      </c>
      <c r="B113" s="136">
        <v>91</v>
      </c>
      <c r="C113" s="42" t="s">
        <v>67</v>
      </c>
      <c r="D113" s="36" t="s">
        <v>873</v>
      </c>
      <c r="E113" s="37" t="s">
        <v>874</v>
      </c>
      <c r="F113" s="38">
        <v>7204403.0499999998</v>
      </c>
      <c r="G113" s="39">
        <v>44967</v>
      </c>
      <c r="H113" s="39">
        <v>44967</v>
      </c>
      <c r="I113" s="39">
        <v>45332</v>
      </c>
      <c r="J113" s="83" t="s">
        <v>30</v>
      </c>
      <c r="K113" s="40" t="s">
        <v>875</v>
      </c>
      <c r="L113" s="41" t="s">
        <v>69</v>
      </c>
      <c r="M113" s="35" t="s">
        <v>34</v>
      </c>
    </row>
    <row r="114" spans="1:13" ht="96" customHeight="1">
      <c r="A114" s="96" t="str">
        <f t="shared" si="2"/>
        <v>23EB0027ADVANCE PAYMENT BOND</v>
      </c>
      <c r="B114" s="136">
        <v>101</v>
      </c>
      <c r="C114" s="42" t="s">
        <v>440</v>
      </c>
      <c r="D114" s="36" t="s">
        <v>876</v>
      </c>
      <c r="E114" s="37" t="s">
        <v>877</v>
      </c>
      <c r="F114" s="38">
        <v>6556804.2000000002</v>
      </c>
      <c r="G114" s="39">
        <v>44967</v>
      </c>
      <c r="H114" s="39">
        <v>44967</v>
      </c>
      <c r="I114" s="39">
        <v>45332</v>
      </c>
      <c r="J114" s="83" t="s">
        <v>30</v>
      </c>
      <c r="K114" s="40" t="s">
        <v>878</v>
      </c>
      <c r="L114" s="41" t="s">
        <v>69</v>
      </c>
      <c r="M114" s="35" t="s">
        <v>34</v>
      </c>
    </row>
    <row r="115" spans="1:13" ht="109.5" customHeight="1">
      <c r="A115" s="96" t="str">
        <f t="shared" si="2"/>
        <v>23EB0016ADVANCE PAYMENT BOND</v>
      </c>
      <c r="B115" s="136">
        <v>102</v>
      </c>
      <c r="C115" s="42" t="s">
        <v>859</v>
      </c>
      <c r="D115" s="36" t="s">
        <v>879</v>
      </c>
      <c r="E115" s="37" t="s">
        <v>880</v>
      </c>
      <c r="F115" s="38">
        <v>851113.99</v>
      </c>
      <c r="G115" s="39">
        <v>44967</v>
      </c>
      <c r="H115" s="39">
        <v>44967</v>
      </c>
      <c r="I115" s="39">
        <v>45332</v>
      </c>
      <c r="J115" s="83" t="s">
        <v>30</v>
      </c>
      <c r="K115" s="40" t="s">
        <v>878</v>
      </c>
      <c r="L115" s="41" t="s">
        <v>69</v>
      </c>
      <c r="M115" s="35" t="s">
        <v>34</v>
      </c>
    </row>
    <row r="116" spans="1:13" ht="109.5" customHeight="1">
      <c r="A116" s="96" t="str">
        <f>D116&amp;M116</f>
        <v>23EB0021PERFORMANCE BOND</v>
      </c>
      <c r="B116" s="136">
        <v>91</v>
      </c>
      <c r="C116" s="42" t="s">
        <v>855</v>
      </c>
      <c r="D116" s="36" t="s">
        <v>856</v>
      </c>
      <c r="E116" s="37" t="s">
        <v>857</v>
      </c>
      <c r="F116" s="38">
        <v>13117100.949999999</v>
      </c>
      <c r="G116" s="39">
        <v>44960</v>
      </c>
      <c r="H116" s="39">
        <v>44960</v>
      </c>
      <c r="I116" s="39">
        <v>45691</v>
      </c>
      <c r="J116" s="83" t="s">
        <v>27</v>
      </c>
      <c r="K116" s="40" t="s">
        <v>881</v>
      </c>
      <c r="L116" s="41" t="s">
        <v>69</v>
      </c>
      <c r="M116" s="35" t="s">
        <v>40</v>
      </c>
    </row>
    <row r="117" spans="1:13" ht="109.5" customHeight="1">
      <c r="A117" s="96" t="str">
        <f>D117&amp;M117</f>
        <v>23EB0033CONTRACTOR'S ALL RISK POLICY</v>
      </c>
      <c r="B117" s="136">
        <v>91</v>
      </c>
      <c r="C117" s="42" t="s">
        <v>847</v>
      </c>
      <c r="D117" s="36" t="s">
        <v>870</v>
      </c>
      <c r="E117" s="37" t="s">
        <v>871</v>
      </c>
      <c r="F117" s="38">
        <v>44621143.649999999</v>
      </c>
      <c r="G117" s="39">
        <v>44960</v>
      </c>
      <c r="H117" s="39">
        <v>44960</v>
      </c>
      <c r="I117" s="39">
        <v>45169</v>
      </c>
      <c r="J117" s="83" t="s">
        <v>30</v>
      </c>
      <c r="K117" s="40" t="s">
        <v>882</v>
      </c>
      <c r="L117" s="41" t="s">
        <v>69</v>
      </c>
      <c r="M117" s="35" t="s">
        <v>31</v>
      </c>
    </row>
    <row r="118" spans="1:13" ht="109.5" customHeight="1">
      <c r="A118" s="96" t="str">
        <f>D118&amp;M118</f>
        <v>23EB0033PERFORMANCE BOND</v>
      </c>
      <c r="B118" s="136">
        <v>91</v>
      </c>
      <c r="C118" s="42" t="s">
        <v>847</v>
      </c>
      <c r="D118" s="36" t="s">
        <v>870</v>
      </c>
      <c r="E118" s="37" t="s">
        <v>871</v>
      </c>
      <c r="F118" s="38">
        <v>13386343.15</v>
      </c>
      <c r="G118" s="39">
        <v>44960</v>
      </c>
      <c r="H118" s="39">
        <v>44960</v>
      </c>
      <c r="I118" s="39">
        <v>45691</v>
      </c>
      <c r="J118" s="83" t="s">
        <v>27</v>
      </c>
      <c r="K118" s="40" t="s">
        <v>881</v>
      </c>
      <c r="L118" s="41" t="s">
        <v>69</v>
      </c>
      <c r="M118" s="35" t="s">
        <v>40</v>
      </c>
    </row>
    <row r="119" spans="1:13" ht="109.5" customHeight="1">
      <c r="A119" s="96" t="str">
        <f>D119&amp;M119</f>
        <v>23EB0035PERFORMANCE BOND</v>
      </c>
      <c r="B119" s="136">
        <v>91</v>
      </c>
      <c r="C119" s="42" t="s">
        <v>847</v>
      </c>
      <c r="D119" s="36" t="s">
        <v>867</v>
      </c>
      <c r="E119" s="37" t="s">
        <v>868</v>
      </c>
      <c r="F119" s="38">
        <v>13384455.800000001</v>
      </c>
      <c r="G119" s="39">
        <v>44960</v>
      </c>
      <c r="H119" s="39">
        <v>44960</v>
      </c>
      <c r="I119" s="39">
        <v>45691</v>
      </c>
      <c r="J119" s="83" t="s">
        <v>27</v>
      </c>
      <c r="K119" s="40" t="s">
        <v>883</v>
      </c>
      <c r="L119" s="41" t="s">
        <v>69</v>
      </c>
      <c r="M119" s="35" t="s">
        <v>40</v>
      </c>
    </row>
    <row r="120" spans="1:13" ht="109.5" customHeight="1">
      <c r="A120" s="96" t="str">
        <f>D120&amp;M120</f>
        <v>23EB0035CONTRACTOR'S ALL RISK POLICY</v>
      </c>
      <c r="B120" s="136">
        <v>91</v>
      </c>
      <c r="C120" s="42" t="s">
        <v>847</v>
      </c>
      <c r="D120" s="36" t="s">
        <v>867</v>
      </c>
      <c r="E120" s="37" t="s">
        <v>868</v>
      </c>
      <c r="F120" s="38">
        <v>44614852.490000002</v>
      </c>
      <c r="G120" s="39">
        <v>44960</v>
      </c>
      <c r="H120" s="39">
        <v>44960</v>
      </c>
      <c r="I120" s="39">
        <v>45169</v>
      </c>
      <c r="J120" s="83" t="s">
        <v>30</v>
      </c>
      <c r="K120" s="40" t="s">
        <v>884</v>
      </c>
      <c r="L120" s="41" t="s">
        <v>69</v>
      </c>
      <c r="M120" s="35" t="s">
        <v>31</v>
      </c>
    </row>
    <row r="121" spans="1:13" ht="96" customHeight="1">
      <c r="A121" s="96" t="str">
        <f t="shared" ref="A121:A184" si="3">D121&amp;M121</f>
        <v>23EB0027PERFORMANCE BOND</v>
      </c>
      <c r="B121" s="136">
        <v>101</v>
      </c>
      <c r="C121" s="42" t="s">
        <v>440</v>
      </c>
      <c r="D121" s="36" t="s">
        <v>876</v>
      </c>
      <c r="E121" s="37" t="s">
        <v>877</v>
      </c>
      <c r="F121" s="38">
        <v>13113608.4</v>
      </c>
      <c r="G121" s="39">
        <v>44960</v>
      </c>
      <c r="H121" s="39">
        <v>44960</v>
      </c>
      <c r="I121" s="39">
        <v>45691</v>
      </c>
      <c r="J121" s="83" t="s">
        <v>27</v>
      </c>
      <c r="K121" s="40" t="s">
        <v>885</v>
      </c>
      <c r="L121" s="41" t="s">
        <v>69</v>
      </c>
      <c r="M121" s="35" t="s">
        <v>40</v>
      </c>
    </row>
    <row r="122" spans="1:13" ht="96" customHeight="1">
      <c r="A122" s="96" t="str">
        <f t="shared" si="3"/>
        <v>23EB0027CONTRACTOR'S ALL RISK POLICY</v>
      </c>
      <c r="B122" s="136">
        <v>101</v>
      </c>
      <c r="C122" s="42" t="s">
        <v>440</v>
      </c>
      <c r="D122" s="36" t="s">
        <v>876</v>
      </c>
      <c r="E122" s="37" t="s">
        <v>877</v>
      </c>
      <c r="F122" s="38">
        <v>43712027.880000003</v>
      </c>
      <c r="G122" s="39">
        <v>44960</v>
      </c>
      <c r="H122" s="39">
        <v>44960</v>
      </c>
      <c r="I122" s="39">
        <v>45179</v>
      </c>
      <c r="J122" s="83" t="s">
        <v>30</v>
      </c>
      <c r="K122" s="40" t="s">
        <v>886</v>
      </c>
      <c r="L122" s="41" t="s">
        <v>69</v>
      </c>
      <c r="M122" s="35" t="s">
        <v>31</v>
      </c>
    </row>
    <row r="123" spans="1:13" ht="113.25" customHeight="1">
      <c r="A123" s="96" t="str">
        <f t="shared" si="3"/>
        <v>23EB0039-R1PERFORMANCE BOND</v>
      </c>
      <c r="B123" s="136">
        <v>97</v>
      </c>
      <c r="C123" s="42" t="s">
        <v>863</v>
      </c>
      <c r="D123" s="36" t="s">
        <v>888</v>
      </c>
      <c r="E123" s="37" t="s">
        <v>865</v>
      </c>
      <c r="F123" s="38">
        <v>14616605.6</v>
      </c>
      <c r="G123" s="39">
        <v>44960</v>
      </c>
      <c r="H123" s="39">
        <v>44960</v>
      </c>
      <c r="I123" s="39">
        <v>45691</v>
      </c>
      <c r="J123" s="83" t="s">
        <v>27</v>
      </c>
      <c r="K123" s="40" t="s">
        <v>887</v>
      </c>
      <c r="L123" s="41" t="s">
        <v>69</v>
      </c>
      <c r="M123" s="35" t="s">
        <v>40</v>
      </c>
    </row>
    <row r="124" spans="1:13" ht="113.25" customHeight="1">
      <c r="A124" s="96" t="str">
        <f t="shared" si="3"/>
        <v>23EB0039-R1CONTRACTOR'S ALL RISK POLICY</v>
      </c>
      <c r="B124" s="136">
        <v>97</v>
      </c>
      <c r="C124" s="42" t="s">
        <v>863</v>
      </c>
      <c r="D124" s="36" t="s">
        <v>888</v>
      </c>
      <c r="E124" s="37" t="s">
        <v>865</v>
      </c>
      <c r="F124" s="38">
        <v>48722018.520000003</v>
      </c>
      <c r="G124" s="39">
        <v>44960</v>
      </c>
      <c r="H124" s="39">
        <v>44960</v>
      </c>
      <c r="I124" s="39">
        <v>45179</v>
      </c>
      <c r="J124" s="83" t="s">
        <v>30</v>
      </c>
      <c r="K124" s="40" t="s">
        <v>889</v>
      </c>
      <c r="L124" s="41" t="s">
        <v>69</v>
      </c>
      <c r="M124" s="35" t="s">
        <v>31</v>
      </c>
    </row>
    <row r="125" spans="1:13" ht="109.5" customHeight="1">
      <c r="A125" s="96" t="str">
        <f t="shared" si="3"/>
        <v>23EB0011PERFORMANCE BOND</v>
      </c>
      <c r="B125" s="136">
        <v>91</v>
      </c>
      <c r="C125" s="42" t="s">
        <v>67</v>
      </c>
      <c r="D125" s="36" t="s">
        <v>873</v>
      </c>
      <c r="E125" s="37" t="s">
        <v>874</v>
      </c>
      <c r="F125" s="38">
        <v>14408806.1</v>
      </c>
      <c r="G125" s="39">
        <v>44960</v>
      </c>
      <c r="H125" s="39">
        <v>44960</v>
      </c>
      <c r="I125" s="39">
        <v>45691</v>
      </c>
      <c r="J125" s="83" t="s">
        <v>27</v>
      </c>
      <c r="K125" s="40" t="s">
        <v>890</v>
      </c>
      <c r="L125" s="41" t="s">
        <v>69</v>
      </c>
      <c r="M125" s="35" t="s">
        <v>40</v>
      </c>
    </row>
    <row r="126" spans="1:13" ht="109.5" customHeight="1">
      <c r="A126" s="96" t="str">
        <f t="shared" si="3"/>
        <v>23EB0011CONTRACTOR'S ALL RISK POLICY</v>
      </c>
      <c r="B126" s="136">
        <v>91</v>
      </c>
      <c r="C126" s="42" t="s">
        <v>67</v>
      </c>
      <c r="D126" s="36" t="s">
        <v>873</v>
      </c>
      <c r="E126" s="37" t="s">
        <v>874</v>
      </c>
      <c r="F126" s="38">
        <v>48029353.469999999</v>
      </c>
      <c r="G126" s="39">
        <v>44960</v>
      </c>
      <c r="H126" s="39">
        <v>44960</v>
      </c>
      <c r="I126" s="39">
        <v>45219</v>
      </c>
      <c r="J126" s="83" t="s">
        <v>30</v>
      </c>
      <c r="K126" s="40" t="s">
        <v>891</v>
      </c>
      <c r="L126" s="41" t="s">
        <v>69</v>
      </c>
      <c r="M126" s="35" t="s">
        <v>31</v>
      </c>
    </row>
    <row r="127" spans="1:13" ht="109.5" customHeight="1">
      <c r="A127" s="96" t="str">
        <f t="shared" si="3"/>
        <v>23EB0013PERFORMANCE BOND</v>
      </c>
      <c r="B127" s="136">
        <v>91</v>
      </c>
      <c r="C127" s="42" t="s">
        <v>67</v>
      </c>
      <c r="D127" s="36" t="s">
        <v>853</v>
      </c>
      <c r="E127" s="37" t="s">
        <v>800</v>
      </c>
      <c r="F127" s="38">
        <v>13225271.1</v>
      </c>
      <c r="G127" s="39">
        <v>44960</v>
      </c>
      <c r="H127" s="39">
        <v>44960</v>
      </c>
      <c r="I127" s="39">
        <v>45691</v>
      </c>
      <c r="J127" s="83" t="s">
        <v>27</v>
      </c>
      <c r="K127" s="40" t="s">
        <v>892</v>
      </c>
      <c r="L127" s="41" t="s">
        <v>69</v>
      </c>
      <c r="M127" s="35" t="s">
        <v>40</v>
      </c>
    </row>
    <row r="128" spans="1:13" ht="109.5" customHeight="1">
      <c r="A128" s="96" t="str">
        <f t="shared" si="3"/>
        <v>23EB0021CONTRACTOR'S ALL RISK POLICY</v>
      </c>
      <c r="B128" s="136">
        <v>91</v>
      </c>
      <c r="C128" s="42" t="s">
        <v>855</v>
      </c>
      <c r="D128" s="36" t="s">
        <v>856</v>
      </c>
      <c r="E128" s="37" t="s">
        <v>857</v>
      </c>
      <c r="F128" s="38">
        <v>43723669.740000002</v>
      </c>
      <c r="G128" s="39">
        <v>44960</v>
      </c>
      <c r="H128" s="39">
        <v>44960</v>
      </c>
      <c r="I128" s="39">
        <v>45201</v>
      </c>
      <c r="J128" s="83" t="s">
        <v>30</v>
      </c>
      <c r="K128" s="40" t="s">
        <v>893</v>
      </c>
      <c r="L128" s="41" t="s">
        <v>69</v>
      </c>
      <c r="M128" s="35" t="s">
        <v>31</v>
      </c>
    </row>
    <row r="129" spans="1:13" ht="109.5" customHeight="1">
      <c r="A129" s="96" t="str">
        <f t="shared" si="3"/>
        <v>23EB0013CONTRACTOR'S ALL RISK POLICY</v>
      </c>
      <c r="B129" s="136">
        <v>91</v>
      </c>
      <c r="C129" s="42" t="s">
        <v>67</v>
      </c>
      <c r="D129" s="36" t="s">
        <v>853</v>
      </c>
      <c r="E129" s="37" t="s">
        <v>800</v>
      </c>
      <c r="F129" s="38">
        <v>44084236.909999996</v>
      </c>
      <c r="G129" s="39">
        <v>44960</v>
      </c>
      <c r="H129" s="39">
        <v>44960</v>
      </c>
      <c r="I129" s="39">
        <v>45219</v>
      </c>
      <c r="J129" s="83" t="s">
        <v>30</v>
      </c>
      <c r="K129" s="40" t="s">
        <v>894</v>
      </c>
      <c r="L129" s="41" t="s">
        <v>69</v>
      </c>
      <c r="M129" s="35" t="s">
        <v>31</v>
      </c>
    </row>
    <row r="130" spans="1:13" ht="82.5" customHeight="1">
      <c r="A130" s="96" t="str">
        <f t="shared" si="3"/>
        <v>23EB0068PERFORMANCE BOND</v>
      </c>
      <c r="B130" s="136">
        <v>117</v>
      </c>
      <c r="C130" s="42" t="s">
        <v>895</v>
      </c>
      <c r="D130" s="36" t="s">
        <v>896</v>
      </c>
      <c r="E130" s="37" t="s">
        <v>897</v>
      </c>
      <c r="F130" s="38">
        <v>1455105</v>
      </c>
      <c r="G130" s="39">
        <v>44963</v>
      </c>
      <c r="H130" s="39">
        <v>44963</v>
      </c>
      <c r="I130" s="39">
        <v>45694</v>
      </c>
      <c r="J130" s="83" t="s">
        <v>27</v>
      </c>
      <c r="K130" s="40" t="s">
        <v>898</v>
      </c>
      <c r="L130" s="41" t="s">
        <v>35</v>
      </c>
      <c r="M130" s="35" t="s">
        <v>40</v>
      </c>
    </row>
    <row r="131" spans="1:13" ht="82.5" customHeight="1">
      <c r="A131" s="96" t="str">
        <f t="shared" si="3"/>
        <v>23EB0064PERFORMANCE BOND</v>
      </c>
      <c r="B131" s="136">
        <v>118</v>
      </c>
      <c r="C131" s="42" t="s">
        <v>899</v>
      </c>
      <c r="D131" s="36" t="s">
        <v>900</v>
      </c>
      <c r="E131" s="37" t="s">
        <v>901</v>
      </c>
      <c r="F131" s="38">
        <v>2657039.5</v>
      </c>
      <c r="G131" s="39">
        <v>44961</v>
      </c>
      <c r="H131" s="39">
        <v>44961</v>
      </c>
      <c r="I131" s="39">
        <v>45692</v>
      </c>
      <c r="J131" s="83" t="s">
        <v>27</v>
      </c>
      <c r="K131" s="40" t="s">
        <v>902</v>
      </c>
      <c r="L131" s="41" t="s">
        <v>35</v>
      </c>
      <c r="M131" s="35" t="s">
        <v>40</v>
      </c>
    </row>
    <row r="132" spans="1:13" ht="82.5" customHeight="1">
      <c r="A132" s="96" t="str">
        <f t="shared" si="3"/>
        <v>23EB0064CONTRACTOR'S ALL RISK POLICY</v>
      </c>
      <c r="B132" s="136">
        <v>118</v>
      </c>
      <c r="C132" s="42" t="s">
        <v>899</v>
      </c>
      <c r="D132" s="36" t="s">
        <v>900</v>
      </c>
      <c r="E132" s="37" t="s">
        <v>901</v>
      </c>
      <c r="F132" s="38">
        <v>8856798.1400000006</v>
      </c>
      <c r="G132" s="39">
        <v>44961</v>
      </c>
      <c r="H132" s="39">
        <v>44961</v>
      </c>
      <c r="I132" s="39">
        <v>45326</v>
      </c>
      <c r="J132" s="83" t="s">
        <v>30</v>
      </c>
      <c r="K132" s="40" t="s">
        <v>903</v>
      </c>
      <c r="L132" s="41" t="s">
        <v>35</v>
      </c>
      <c r="M132" s="35" t="s">
        <v>31</v>
      </c>
    </row>
    <row r="133" spans="1:13" ht="82.5" customHeight="1">
      <c r="A133" s="96" t="str">
        <f t="shared" si="3"/>
        <v>23EB0067-R1PERFORMANCE BOND</v>
      </c>
      <c r="B133" s="136">
        <v>117</v>
      </c>
      <c r="C133" s="42" t="s">
        <v>895</v>
      </c>
      <c r="D133" s="36" t="s">
        <v>904</v>
      </c>
      <c r="E133" s="37" t="s">
        <v>905</v>
      </c>
      <c r="F133" s="38">
        <v>2881952</v>
      </c>
      <c r="G133" s="39">
        <v>44963</v>
      </c>
      <c r="H133" s="39">
        <v>44963</v>
      </c>
      <c r="I133" s="39">
        <v>45694</v>
      </c>
      <c r="J133" s="83" t="s">
        <v>27</v>
      </c>
      <c r="K133" s="40" t="s">
        <v>906</v>
      </c>
      <c r="L133" s="41" t="s">
        <v>35</v>
      </c>
      <c r="M133" s="35" t="s">
        <v>40</v>
      </c>
    </row>
    <row r="134" spans="1:13" ht="82.5" customHeight="1">
      <c r="A134" s="96" t="str">
        <f t="shared" si="3"/>
        <v>23EB0067-R1CONTRACTOR'S ALL RISK POLICY</v>
      </c>
      <c r="B134" s="136">
        <v>117</v>
      </c>
      <c r="C134" s="42" t="s">
        <v>895</v>
      </c>
      <c r="D134" s="36" t="s">
        <v>904</v>
      </c>
      <c r="E134" s="37" t="s">
        <v>905</v>
      </c>
      <c r="F134" s="38">
        <v>9606506.4700000007</v>
      </c>
      <c r="G134" s="39">
        <v>44963</v>
      </c>
      <c r="H134" s="39">
        <v>44963</v>
      </c>
      <c r="I134" s="39">
        <v>45328</v>
      </c>
      <c r="J134" s="83" t="s">
        <v>30</v>
      </c>
      <c r="K134" s="40" t="s">
        <v>907</v>
      </c>
      <c r="L134" s="41" t="s">
        <v>35</v>
      </c>
      <c r="M134" s="35" t="s">
        <v>31</v>
      </c>
    </row>
    <row r="135" spans="1:13" ht="82.5" customHeight="1">
      <c r="A135" s="96" t="str">
        <f t="shared" si="3"/>
        <v>23EB0041-R1CONTRACTOR'S ALL RISK POLICY</v>
      </c>
      <c r="B135" s="136">
        <v>122</v>
      </c>
      <c r="C135" s="42" t="s">
        <v>42</v>
      </c>
      <c r="D135" s="36" t="s">
        <v>908</v>
      </c>
      <c r="E135" s="37" t="s">
        <v>909</v>
      </c>
      <c r="F135" s="38">
        <v>9743840.3800000008</v>
      </c>
      <c r="G135" s="39">
        <v>44960</v>
      </c>
      <c r="H135" s="39">
        <v>44960</v>
      </c>
      <c r="I135" s="39">
        <v>45325</v>
      </c>
      <c r="J135" s="83" t="s">
        <v>30</v>
      </c>
      <c r="K135" s="40" t="s">
        <v>910</v>
      </c>
      <c r="L135" s="41" t="s">
        <v>35</v>
      </c>
      <c r="M135" s="35" t="s">
        <v>31</v>
      </c>
    </row>
    <row r="136" spans="1:13" ht="82.5" customHeight="1">
      <c r="A136" s="96" t="str">
        <f t="shared" si="3"/>
        <v>23EB0041-R1PERFORMANCE BOND</v>
      </c>
      <c r="B136" s="136">
        <v>122</v>
      </c>
      <c r="C136" s="42" t="s">
        <v>42</v>
      </c>
      <c r="D136" s="36" t="s">
        <v>908</v>
      </c>
      <c r="E136" s="37" t="s">
        <v>909</v>
      </c>
      <c r="F136" s="38">
        <v>2923152.11</v>
      </c>
      <c r="G136" s="39">
        <v>44960</v>
      </c>
      <c r="H136" s="39">
        <v>44960</v>
      </c>
      <c r="I136" s="39">
        <v>45691</v>
      </c>
      <c r="J136" s="83" t="s">
        <v>27</v>
      </c>
      <c r="K136" s="40" t="s">
        <v>911</v>
      </c>
      <c r="L136" s="41" t="s">
        <v>35</v>
      </c>
      <c r="M136" s="35" t="s">
        <v>40</v>
      </c>
    </row>
    <row r="137" spans="1:13" ht="82.5" customHeight="1">
      <c r="A137" s="96" t="str">
        <f t="shared" si="3"/>
        <v>23EB0068CONTRACTOR'S ALL RISK POLICY</v>
      </c>
      <c r="B137" s="136">
        <v>117</v>
      </c>
      <c r="C137" s="42" t="s">
        <v>895</v>
      </c>
      <c r="D137" s="36" t="s">
        <v>896</v>
      </c>
      <c r="E137" s="37" t="s">
        <v>897</v>
      </c>
      <c r="F137" s="38">
        <v>4850349.03</v>
      </c>
      <c r="G137" s="39">
        <v>44963</v>
      </c>
      <c r="H137" s="39">
        <v>44963</v>
      </c>
      <c r="I137" s="39">
        <v>45328</v>
      </c>
      <c r="J137" s="83" t="s">
        <v>30</v>
      </c>
      <c r="K137" s="40" t="s">
        <v>912</v>
      </c>
      <c r="L137" s="41" t="s">
        <v>35</v>
      </c>
      <c r="M137" s="35" t="s">
        <v>31</v>
      </c>
    </row>
    <row r="138" spans="1:13" ht="82.5" customHeight="1">
      <c r="A138" s="96" t="str">
        <f t="shared" si="3"/>
        <v>23EB0065ADVANCE PAYMENT BOND</v>
      </c>
      <c r="B138" s="136">
        <v>125</v>
      </c>
      <c r="C138" s="42" t="s">
        <v>847</v>
      </c>
      <c r="D138" s="36" t="s">
        <v>913</v>
      </c>
      <c r="E138" s="37" t="s">
        <v>914</v>
      </c>
      <c r="F138" s="38">
        <v>1016793</v>
      </c>
      <c r="G138" s="39">
        <v>44970</v>
      </c>
      <c r="H138" s="39">
        <v>44970</v>
      </c>
      <c r="I138" s="39">
        <v>45335</v>
      </c>
      <c r="J138" s="83" t="s">
        <v>30</v>
      </c>
      <c r="K138" s="40" t="s">
        <v>915</v>
      </c>
      <c r="L138" s="41" t="s">
        <v>35</v>
      </c>
      <c r="M138" s="35" t="s">
        <v>34</v>
      </c>
    </row>
    <row r="139" spans="1:13" ht="82.5" customHeight="1">
      <c r="A139" s="96" t="str">
        <f t="shared" si="3"/>
        <v>23EB0065CONTRACTOR'S ALL RISK POLICY</v>
      </c>
      <c r="B139" s="136">
        <v>125</v>
      </c>
      <c r="C139" s="42" t="s">
        <v>847</v>
      </c>
      <c r="D139" s="36" t="s">
        <v>913</v>
      </c>
      <c r="E139" s="37" t="s">
        <v>914</v>
      </c>
      <c r="F139" s="38">
        <v>6778619.0099999998</v>
      </c>
      <c r="G139" s="39">
        <v>44961</v>
      </c>
      <c r="H139" s="39">
        <v>44961</v>
      </c>
      <c r="I139" s="39">
        <v>45326</v>
      </c>
      <c r="J139" s="83" t="s">
        <v>30</v>
      </c>
      <c r="K139" s="40" t="s">
        <v>916</v>
      </c>
      <c r="L139" s="41" t="s">
        <v>35</v>
      </c>
      <c r="M139" s="35" t="s">
        <v>31</v>
      </c>
    </row>
    <row r="140" spans="1:13" ht="82.5" customHeight="1">
      <c r="A140" s="96" t="str">
        <f t="shared" si="3"/>
        <v>23EB0065PERFORMANCE BOND</v>
      </c>
      <c r="B140" s="136">
        <v>125</v>
      </c>
      <c r="C140" s="42" t="s">
        <v>847</v>
      </c>
      <c r="D140" s="36" t="s">
        <v>913</v>
      </c>
      <c r="E140" s="37" t="s">
        <v>914</v>
      </c>
      <c r="F140" s="38">
        <v>2033586</v>
      </c>
      <c r="G140" s="39">
        <v>44961</v>
      </c>
      <c r="H140" s="39">
        <v>44961</v>
      </c>
      <c r="I140" s="39">
        <v>45692</v>
      </c>
      <c r="J140" s="83" t="s">
        <v>27</v>
      </c>
      <c r="K140" s="40" t="s">
        <v>917</v>
      </c>
      <c r="L140" s="41" t="s">
        <v>35</v>
      </c>
      <c r="M140" s="35" t="s">
        <v>40</v>
      </c>
    </row>
    <row r="141" spans="1:13" ht="82.5" customHeight="1">
      <c r="A141" s="96" t="str">
        <f t="shared" si="3"/>
        <v>23EB0041-R1ADVANCE PAYMENT BOND</v>
      </c>
      <c r="B141" s="136">
        <v>122</v>
      </c>
      <c r="C141" s="42" t="s">
        <v>42</v>
      </c>
      <c r="D141" s="36" t="s">
        <v>908</v>
      </c>
      <c r="E141" s="37" t="s">
        <v>909</v>
      </c>
      <c r="F141" s="38">
        <v>1461576.06</v>
      </c>
      <c r="G141" s="39">
        <v>44970</v>
      </c>
      <c r="H141" s="39">
        <v>44970</v>
      </c>
      <c r="I141" s="39">
        <v>45335</v>
      </c>
      <c r="J141" s="83" t="s">
        <v>30</v>
      </c>
      <c r="K141" s="40" t="s">
        <v>918</v>
      </c>
      <c r="L141" s="41" t="s">
        <v>35</v>
      </c>
      <c r="M141" s="35" t="s">
        <v>34</v>
      </c>
    </row>
    <row r="142" spans="1:13" ht="86.25" customHeight="1">
      <c r="A142" s="96" t="str">
        <f t="shared" si="3"/>
        <v>23EB0022ADVANCE PAYMENT BOND</v>
      </c>
      <c r="B142" s="136">
        <v>129</v>
      </c>
      <c r="C142" s="42" t="s">
        <v>919</v>
      </c>
      <c r="D142" s="36" t="s">
        <v>920</v>
      </c>
      <c r="E142" s="37" t="s">
        <v>921</v>
      </c>
      <c r="F142" s="38">
        <v>6591509.5</v>
      </c>
      <c r="G142" s="39">
        <v>44970</v>
      </c>
      <c r="H142" s="39">
        <v>44970</v>
      </c>
      <c r="I142" s="39">
        <v>45335</v>
      </c>
      <c r="J142" s="83" t="s">
        <v>30</v>
      </c>
      <c r="K142" s="40" t="s">
        <v>922</v>
      </c>
      <c r="L142" s="41" t="s">
        <v>35</v>
      </c>
      <c r="M142" s="35" t="s">
        <v>34</v>
      </c>
    </row>
    <row r="143" spans="1:13" ht="86.25" customHeight="1">
      <c r="A143" s="96" t="str">
        <f t="shared" si="3"/>
        <v>23EB0022CONTRACTOR'S ALL RISK POLICY</v>
      </c>
      <c r="B143" s="136">
        <v>129</v>
      </c>
      <c r="C143" s="42" t="s">
        <v>919</v>
      </c>
      <c r="D143" s="36" t="s">
        <v>920</v>
      </c>
      <c r="E143" s="37" t="s">
        <v>921</v>
      </c>
      <c r="F143" s="38">
        <v>43943395.869999997</v>
      </c>
      <c r="G143" s="39">
        <v>44960</v>
      </c>
      <c r="H143" s="39">
        <v>44960</v>
      </c>
      <c r="I143" s="39">
        <v>45325</v>
      </c>
      <c r="J143" s="83" t="s">
        <v>30</v>
      </c>
      <c r="K143" s="40" t="s">
        <v>923</v>
      </c>
      <c r="L143" s="41" t="s">
        <v>28</v>
      </c>
      <c r="M143" s="35" t="s">
        <v>31</v>
      </c>
    </row>
    <row r="144" spans="1:13" ht="82.5" customHeight="1">
      <c r="A144" s="96" t="str">
        <f t="shared" si="3"/>
        <v>22EB0009RETENTION BOND</v>
      </c>
      <c r="B144" s="136">
        <v>131</v>
      </c>
      <c r="C144" s="42" t="s">
        <v>758</v>
      </c>
      <c r="D144" s="36" t="s">
        <v>125</v>
      </c>
      <c r="E144" s="37" t="s">
        <v>924</v>
      </c>
      <c r="F144" s="38">
        <v>4366019.5</v>
      </c>
      <c r="G144" s="39">
        <v>44910</v>
      </c>
      <c r="H144" s="39">
        <v>44910</v>
      </c>
      <c r="I144" s="39">
        <v>45275</v>
      </c>
      <c r="J144" s="83" t="s">
        <v>30</v>
      </c>
      <c r="K144" s="40" t="s">
        <v>925</v>
      </c>
      <c r="L144" s="41" t="s">
        <v>69</v>
      </c>
      <c r="M144" s="35" t="s">
        <v>33</v>
      </c>
    </row>
    <row r="145" spans="1:13" ht="82.5" customHeight="1">
      <c r="A145" s="96" t="str">
        <f t="shared" si="3"/>
        <v>22EB0110RETENTION BOND</v>
      </c>
      <c r="B145" s="136">
        <v>132</v>
      </c>
      <c r="C145" s="42" t="s">
        <v>44</v>
      </c>
      <c r="D145" s="36" t="s">
        <v>926</v>
      </c>
      <c r="E145" s="37" t="s">
        <v>927</v>
      </c>
      <c r="F145" s="38">
        <v>392922.74</v>
      </c>
      <c r="G145" s="39">
        <v>44956</v>
      </c>
      <c r="H145" s="39">
        <v>44956</v>
      </c>
      <c r="I145" s="39">
        <v>45321</v>
      </c>
      <c r="J145" s="83" t="s">
        <v>30</v>
      </c>
      <c r="K145" s="40" t="s">
        <v>928</v>
      </c>
      <c r="L145" s="41" t="s">
        <v>69</v>
      </c>
      <c r="M145" s="35" t="s">
        <v>33</v>
      </c>
    </row>
    <row r="146" spans="1:13" ht="126" customHeight="1">
      <c r="A146" s="96" t="str">
        <f t="shared" si="3"/>
        <v>23EB0058ADVANCE PAYMENT BOND</v>
      </c>
      <c r="B146" s="136">
        <v>133</v>
      </c>
      <c r="C146" s="42" t="s">
        <v>929</v>
      </c>
      <c r="D146" s="36" t="s">
        <v>827</v>
      </c>
      <c r="E146" s="37" t="s">
        <v>828</v>
      </c>
      <c r="F146" s="38">
        <v>723943.25</v>
      </c>
      <c r="G146" s="39">
        <v>44967</v>
      </c>
      <c r="H146" s="39">
        <v>44967</v>
      </c>
      <c r="I146" s="39">
        <v>45332</v>
      </c>
      <c r="J146" s="83" t="s">
        <v>30</v>
      </c>
      <c r="K146" s="40" t="s">
        <v>930</v>
      </c>
      <c r="L146" s="41" t="s">
        <v>69</v>
      </c>
      <c r="M146" s="35" t="s">
        <v>34</v>
      </c>
    </row>
    <row r="147" spans="1:13" ht="108.75" customHeight="1">
      <c r="A147" s="96" t="str">
        <f t="shared" si="3"/>
        <v>23EB0028PERFORMANCE BOND</v>
      </c>
      <c r="B147" s="136">
        <v>125</v>
      </c>
      <c r="C147" s="42" t="s">
        <v>931</v>
      </c>
      <c r="D147" s="36" t="s">
        <v>932</v>
      </c>
      <c r="E147" s="37" t="s">
        <v>933</v>
      </c>
      <c r="F147" s="38">
        <v>13093171.41</v>
      </c>
      <c r="G147" s="39">
        <v>44958</v>
      </c>
      <c r="H147" s="39">
        <v>44958</v>
      </c>
      <c r="I147" s="39">
        <v>45689</v>
      </c>
      <c r="J147" s="83" t="s">
        <v>27</v>
      </c>
      <c r="K147" s="40" t="s">
        <v>934</v>
      </c>
      <c r="L147" s="41" t="s">
        <v>35</v>
      </c>
      <c r="M147" s="35" t="s">
        <v>40</v>
      </c>
    </row>
    <row r="148" spans="1:13" ht="108.75" customHeight="1">
      <c r="A148" s="96" t="str">
        <f t="shared" si="3"/>
        <v>23EB0061PERFORMANCE BOND</v>
      </c>
      <c r="B148" s="136">
        <v>125</v>
      </c>
      <c r="C148" s="42" t="s">
        <v>859</v>
      </c>
      <c r="D148" s="36" t="s">
        <v>860</v>
      </c>
      <c r="E148" s="37" t="s">
        <v>861</v>
      </c>
      <c r="F148" s="38">
        <v>1455175.1</v>
      </c>
      <c r="G148" s="39">
        <v>44958</v>
      </c>
      <c r="H148" s="39">
        <v>44958</v>
      </c>
      <c r="I148" s="39">
        <v>45689</v>
      </c>
      <c r="J148" s="83" t="s">
        <v>27</v>
      </c>
      <c r="K148" s="40" t="s">
        <v>935</v>
      </c>
      <c r="L148" s="41" t="s">
        <v>35</v>
      </c>
      <c r="M148" s="35" t="s">
        <v>40</v>
      </c>
    </row>
    <row r="149" spans="1:13" ht="108.75" customHeight="1">
      <c r="A149" s="96" t="str">
        <f t="shared" si="3"/>
        <v>23EB0048PERFORMANCE BOND</v>
      </c>
      <c r="B149" s="136">
        <v>125</v>
      </c>
      <c r="C149" s="42" t="s">
        <v>859</v>
      </c>
      <c r="D149" s="36" t="s">
        <v>936</v>
      </c>
      <c r="E149" s="37" t="s">
        <v>937</v>
      </c>
      <c r="F149" s="38">
        <v>2326021.8199999998</v>
      </c>
      <c r="G149" s="39">
        <v>44958</v>
      </c>
      <c r="H149" s="39">
        <v>44958</v>
      </c>
      <c r="I149" s="39">
        <v>45689</v>
      </c>
      <c r="J149" s="83" t="s">
        <v>27</v>
      </c>
      <c r="K149" s="40" t="s">
        <v>938</v>
      </c>
      <c r="L149" s="41" t="s">
        <v>35</v>
      </c>
      <c r="M149" s="35" t="s">
        <v>40</v>
      </c>
    </row>
    <row r="150" spans="1:13" ht="108.75" customHeight="1">
      <c r="A150" s="96" t="str">
        <f t="shared" si="3"/>
        <v>23EB0016PERFORMANCE BOND</v>
      </c>
      <c r="B150" s="136">
        <v>125</v>
      </c>
      <c r="C150" s="42" t="s">
        <v>859</v>
      </c>
      <c r="D150" s="36" t="s">
        <v>879</v>
      </c>
      <c r="E150" s="37" t="s">
        <v>880</v>
      </c>
      <c r="F150" s="38">
        <v>1702227.93</v>
      </c>
      <c r="G150" s="39">
        <v>44958</v>
      </c>
      <c r="H150" s="39">
        <v>44958</v>
      </c>
      <c r="I150" s="39">
        <v>45689</v>
      </c>
      <c r="J150" s="83" t="s">
        <v>27</v>
      </c>
      <c r="K150" s="40" t="s">
        <v>939</v>
      </c>
      <c r="L150" s="41" t="s">
        <v>35</v>
      </c>
      <c r="M150" s="35" t="s">
        <v>40</v>
      </c>
    </row>
    <row r="151" spans="1:13" ht="108.75" customHeight="1">
      <c r="A151" s="96" t="str">
        <f t="shared" si="3"/>
        <v>23EB0061CONTRACTOR'S ALL RISK POLICY</v>
      </c>
      <c r="B151" s="136">
        <v>125</v>
      </c>
      <c r="C151" s="42" t="s">
        <v>859</v>
      </c>
      <c r="D151" s="36" t="s">
        <v>860</v>
      </c>
      <c r="E151" s="37" t="s">
        <v>861</v>
      </c>
      <c r="F151" s="38">
        <v>4850583.66</v>
      </c>
      <c r="G151" s="39">
        <v>44958</v>
      </c>
      <c r="H151" s="39">
        <v>44958</v>
      </c>
      <c r="I151" s="39">
        <v>45323</v>
      </c>
      <c r="J151" s="83" t="s">
        <v>30</v>
      </c>
      <c r="K151" s="40" t="s">
        <v>940</v>
      </c>
      <c r="L151" s="41" t="s">
        <v>35</v>
      </c>
      <c r="M151" s="35" t="s">
        <v>31</v>
      </c>
    </row>
    <row r="152" spans="1:13" ht="108.75" customHeight="1">
      <c r="A152" s="96" t="str">
        <f t="shared" si="3"/>
        <v>23EB0016CONTRACTOR'S ALL RISK POLICY</v>
      </c>
      <c r="B152" s="136">
        <v>125</v>
      </c>
      <c r="C152" s="42" t="s">
        <v>859</v>
      </c>
      <c r="D152" s="36" t="s">
        <v>879</v>
      </c>
      <c r="E152" s="37" t="s">
        <v>880</v>
      </c>
      <c r="F152" s="38">
        <v>5674093.0899999999</v>
      </c>
      <c r="G152" s="39">
        <v>44958</v>
      </c>
      <c r="H152" s="39">
        <v>44958</v>
      </c>
      <c r="I152" s="39">
        <v>45323</v>
      </c>
      <c r="J152" s="83" t="s">
        <v>30</v>
      </c>
      <c r="K152" s="40" t="s">
        <v>941</v>
      </c>
      <c r="L152" s="41" t="s">
        <v>35</v>
      </c>
      <c r="M152" s="35" t="s">
        <v>31</v>
      </c>
    </row>
    <row r="153" spans="1:13" ht="108.75" customHeight="1">
      <c r="A153" s="96" t="str">
        <f t="shared" si="3"/>
        <v>23EB0048CONTRACTOR'S ALL RISK POLICY</v>
      </c>
      <c r="B153" s="136">
        <v>125</v>
      </c>
      <c r="C153" s="42" t="s">
        <v>859</v>
      </c>
      <c r="D153" s="36" t="s">
        <v>936</v>
      </c>
      <c r="E153" s="37" t="s">
        <v>937</v>
      </c>
      <c r="F153" s="38">
        <v>7753406.0700000003</v>
      </c>
      <c r="G153" s="39">
        <v>44958</v>
      </c>
      <c r="H153" s="39">
        <v>44958</v>
      </c>
      <c r="I153" s="39">
        <v>45323</v>
      </c>
      <c r="J153" s="83" t="s">
        <v>30</v>
      </c>
      <c r="K153" s="40" t="s">
        <v>942</v>
      </c>
      <c r="L153" s="41" t="s">
        <v>35</v>
      </c>
      <c r="M153" s="35" t="s">
        <v>31</v>
      </c>
    </row>
    <row r="154" spans="1:13" ht="108.75" customHeight="1">
      <c r="A154" s="96" t="str">
        <f t="shared" si="3"/>
        <v>23EB0028CONTRACTOR'S ALL RISK POLICY</v>
      </c>
      <c r="B154" s="136">
        <v>125</v>
      </c>
      <c r="C154" s="42" t="s">
        <v>931</v>
      </c>
      <c r="D154" s="36" t="s">
        <v>932</v>
      </c>
      <c r="E154" s="37" t="s">
        <v>933</v>
      </c>
      <c r="F154" s="38">
        <v>43643904.710000001</v>
      </c>
      <c r="G154" s="39">
        <v>44958</v>
      </c>
      <c r="H154" s="39">
        <v>44958</v>
      </c>
      <c r="I154" s="39">
        <v>45323</v>
      </c>
      <c r="J154" s="83" t="s">
        <v>30</v>
      </c>
      <c r="K154" s="40" t="s">
        <v>943</v>
      </c>
      <c r="L154" s="41" t="s">
        <v>35</v>
      </c>
      <c r="M154" s="35" t="s">
        <v>31</v>
      </c>
    </row>
    <row r="155" spans="1:13" ht="126" customHeight="1">
      <c r="A155" s="96" t="str">
        <f t="shared" si="3"/>
        <v>23EB0026ADVANCE PAYMENT BOND</v>
      </c>
      <c r="B155" s="136">
        <v>142</v>
      </c>
      <c r="C155" s="42" t="s">
        <v>36</v>
      </c>
      <c r="D155" s="36" t="s">
        <v>944</v>
      </c>
      <c r="E155" s="37" t="s">
        <v>945</v>
      </c>
      <c r="F155" s="38">
        <v>6490536.4900000002</v>
      </c>
      <c r="G155" s="39">
        <v>44971</v>
      </c>
      <c r="H155" s="39">
        <v>44971</v>
      </c>
      <c r="I155" s="39">
        <v>45336</v>
      </c>
      <c r="J155" s="83" t="s">
        <v>30</v>
      </c>
      <c r="K155" s="40" t="s">
        <v>946</v>
      </c>
      <c r="L155" s="41" t="s">
        <v>32</v>
      </c>
      <c r="M155" s="35" t="s">
        <v>34</v>
      </c>
    </row>
    <row r="156" spans="1:13" ht="96" customHeight="1">
      <c r="A156" s="96" t="str">
        <f t="shared" si="3"/>
        <v>23EB0049ADVANCE PAYMENT BOND</v>
      </c>
      <c r="B156" s="136">
        <v>57</v>
      </c>
      <c r="C156" s="42" t="s">
        <v>75</v>
      </c>
      <c r="D156" s="36" t="s">
        <v>787</v>
      </c>
      <c r="E156" s="37" t="s">
        <v>788</v>
      </c>
      <c r="F156" s="38">
        <v>1454581.61</v>
      </c>
      <c r="G156" s="39">
        <v>44971</v>
      </c>
      <c r="H156" s="39">
        <v>44971</v>
      </c>
      <c r="I156" s="39">
        <v>45336</v>
      </c>
      <c r="J156" s="83" t="s">
        <v>30</v>
      </c>
      <c r="K156" s="40" t="s">
        <v>947</v>
      </c>
      <c r="L156" s="41" t="s">
        <v>32</v>
      </c>
      <c r="M156" s="35" t="s">
        <v>34</v>
      </c>
    </row>
    <row r="157" spans="1:13" ht="96" customHeight="1">
      <c r="A157" s="96" t="str">
        <f t="shared" si="3"/>
        <v>23EB0040ADVANCE PAYMENT BOND</v>
      </c>
      <c r="B157" s="136">
        <v>49</v>
      </c>
      <c r="C157" s="42" t="s">
        <v>655</v>
      </c>
      <c r="D157" s="36" t="s">
        <v>771</v>
      </c>
      <c r="E157" s="37" t="s">
        <v>772</v>
      </c>
      <c r="F157" s="38">
        <v>1439351.88</v>
      </c>
      <c r="G157" s="39">
        <v>44971</v>
      </c>
      <c r="H157" s="39">
        <v>44971</v>
      </c>
      <c r="I157" s="39">
        <v>45336</v>
      </c>
      <c r="J157" s="83" t="s">
        <v>30</v>
      </c>
      <c r="K157" s="40" t="s">
        <v>948</v>
      </c>
      <c r="L157" s="41" t="s">
        <v>32</v>
      </c>
      <c r="M157" s="35" t="s">
        <v>34</v>
      </c>
    </row>
    <row r="158" spans="1:13" ht="96" customHeight="1">
      <c r="A158" s="96" t="str">
        <f t="shared" si="3"/>
        <v>23EB0060ADVANCE PAYMENT BOND</v>
      </c>
      <c r="B158" s="136">
        <v>57</v>
      </c>
      <c r="C158" s="42" t="s">
        <v>75</v>
      </c>
      <c r="D158" s="36" t="s">
        <v>791</v>
      </c>
      <c r="E158" s="37" t="s">
        <v>792</v>
      </c>
      <c r="F158" s="38">
        <v>727331.49</v>
      </c>
      <c r="G158" s="39">
        <v>44971</v>
      </c>
      <c r="H158" s="39">
        <v>44971</v>
      </c>
      <c r="I158" s="39">
        <v>45336</v>
      </c>
      <c r="J158" s="83" t="s">
        <v>30</v>
      </c>
      <c r="K158" s="40" t="s">
        <v>949</v>
      </c>
      <c r="L158" s="41" t="s">
        <v>32</v>
      </c>
      <c r="M158" s="35" t="s">
        <v>34</v>
      </c>
    </row>
    <row r="159" spans="1:13" ht="96" customHeight="1">
      <c r="A159" s="96" t="str">
        <f t="shared" si="3"/>
        <v>23EB0019ADVANCE PAYMENT BOND</v>
      </c>
      <c r="B159" s="136">
        <v>47</v>
      </c>
      <c r="C159" s="42" t="s">
        <v>766</v>
      </c>
      <c r="D159" s="36" t="s">
        <v>767</v>
      </c>
      <c r="E159" s="37" t="s">
        <v>768</v>
      </c>
      <c r="F159" s="38">
        <v>7129500.0499999998</v>
      </c>
      <c r="G159" s="39">
        <v>44971</v>
      </c>
      <c r="H159" s="39">
        <v>44971</v>
      </c>
      <c r="I159" s="39">
        <v>45336</v>
      </c>
      <c r="J159" s="83" t="s">
        <v>30</v>
      </c>
      <c r="K159" s="40" t="s">
        <v>950</v>
      </c>
      <c r="L159" s="41" t="s">
        <v>32</v>
      </c>
      <c r="M159" s="35" t="s">
        <v>34</v>
      </c>
    </row>
    <row r="160" spans="1:13" ht="96" customHeight="1">
      <c r="A160" s="96" t="str">
        <f t="shared" si="3"/>
        <v>23EB0053ADVANCE PAYMENT BOND</v>
      </c>
      <c r="B160" s="136">
        <v>51</v>
      </c>
      <c r="C160" s="42" t="s">
        <v>43</v>
      </c>
      <c r="D160" s="36" t="s">
        <v>775</v>
      </c>
      <c r="E160" s="37" t="s">
        <v>776</v>
      </c>
      <c r="F160" s="38">
        <v>735640.98</v>
      </c>
      <c r="G160" s="39">
        <v>44971</v>
      </c>
      <c r="H160" s="39">
        <v>44971</v>
      </c>
      <c r="I160" s="39">
        <v>45336</v>
      </c>
      <c r="J160" s="83" t="s">
        <v>30</v>
      </c>
      <c r="K160" s="40" t="s">
        <v>951</v>
      </c>
      <c r="L160" s="41" t="s">
        <v>32</v>
      </c>
      <c r="M160" s="35" t="s">
        <v>34</v>
      </c>
    </row>
    <row r="161" spans="1:13" ht="96" customHeight="1">
      <c r="A161" s="96" t="str">
        <f t="shared" si="3"/>
        <v>23EB0042ADVANCE PAYMENT BOND</v>
      </c>
      <c r="B161" s="136">
        <v>53</v>
      </c>
      <c r="C161" s="42" t="s">
        <v>43</v>
      </c>
      <c r="D161" s="36" t="s">
        <v>779</v>
      </c>
      <c r="E161" s="37" t="s">
        <v>780</v>
      </c>
      <c r="F161" s="38">
        <v>1388524.32</v>
      </c>
      <c r="G161" s="39">
        <v>44971</v>
      </c>
      <c r="H161" s="39">
        <v>44971</v>
      </c>
      <c r="I161" s="39">
        <v>45336</v>
      </c>
      <c r="J161" s="83" t="s">
        <v>30</v>
      </c>
      <c r="K161" s="40" t="s">
        <v>952</v>
      </c>
      <c r="L161" s="41" t="s">
        <v>32</v>
      </c>
      <c r="M161" s="35" t="s">
        <v>34</v>
      </c>
    </row>
    <row r="162" spans="1:13" ht="129" customHeight="1">
      <c r="A162" s="96" t="str">
        <f t="shared" si="3"/>
        <v>23EB0043-R1ADVANCE PAYMENT BOND</v>
      </c>
      <c r="B162" s="136">
        <v>53</v>
      </c>
      <c r="C162" s="42" t="s">
        <v>43</v>
      </c>
      <c r="D162" s="36" t="s">
        <v>783</v>
      </c>
      <c r="E162" s="37" t="s">
        <v>784</v>
      </c>
      <c r="F162" s="38">
        <v>735411.81</v>
      </c>
      <c r="G162" s="39">
        <v>44971</v>
      </c>
      <c r="H162" s="39">
        <v>44971</v>
      </c>
      <c r="I162" s="39">
        <v>45336</v>
      </c>
      <c r="J162" s="83" t="s">
        <v>30</v>
      </c>
      <c r="K162" s="40" t="s">
        <v>953</v>
      </c>
      <c r="L162" s="41" t="s">
        <v>32</v>
      </c>
      <c r="M162" s="35" t="s">
        <v>34</v>
      </c>
    </row>
    <row r="163" spans="1:13" ht="126" customHeight="1">
      <c r="A163" s="96" t="str">
        <f t="shared" si="3"/>
        <v>23EB0026PERFORMANCE BOND</v>
      </c>
      <c r="B163" s="136">
        <v>142</v>
      </c>
      <c r="C163" s="42" t="s">
        <v>36</v>
      </c>
      <c r="D163" s="36" t="s">
        <v>944</v>
      </c>
      <c r="E163" s="37" t="s">
        <v>945</v>
      </c>
      <c r="F163" s="38">
        <v>12981072.99</v>
      </c>
      <c r="G163" s="39">
        <v>44960</v>
      </c>
      <c r="H163" s="39">
        <v>44960</v>
      </c>
      <c r="I163" s="39">
        <v>45691</v>
      </c>
      <c r="J163" s="83" t="s">
        <v>27</v>
      </c>
      <c r="K163" s="40" t="s">
        <v>769</v>
      </c>
      <c r="L163" s="41" t="s">
        <v>32</v>
      </c>
      <c r="M163" s="35" t="s">
        <v>40</v>
      </c>
    </row>
    <row r="164" spans="1:13" ht="126" customHeight="1">
      <c r="A164" s="96" t="str">
        <f t="shared" si="3"/>
        <v>23EB0026CONTRACTOR'S ALL RISK POLICY</v>
      </c>
      <c r="B164" s="136">
        <v>142</v>
      </c>
      <c r="C164" s="42" t="s">
        <v>36</v>
      </c>
      <c r="D164" s="36" t="s">
        <v>944</v>
      </c>
      <c r="E164" s="37" t="s">
        <v>945</v>
      </c>
      <c r="F164" s="38">
        <v>43270243.289999999</v>
      </c>
      <c r="G164" s="39">
        <v>44963</v>
      </c>
      <c r="H164" s="39">
        <v>44963</v>
      </c>
      <c r="I164" s="39">
        <v>45328</v>
      </c>
      <c r="J164" s="83" t="s">
        <v>30</v>
      </c>
      <c r="K164" s="40" t="s">
        <v>954</v>
      </c>
      <c r="L164" s="41" t="s">
        <v>32</v>
      </c>
      <c r="M164" s="35" t="s">
        <v>31</v>
      </c>
    </row>
    <row r="165" spans="1:13" ht="82.5" customHeight="1">
      <c r="A165" s="96" t="str">
        <f t="shared" si="3"/>
        <v>23EB0067-R1ADVANCE PAYMENT BOND</v>
      </c>
      <c r="B165" s="136">
        <v>117</v>
      </c>
      <c r="C165" s="42" t="s">
        <v>895</v>
      </c>
      <c r="D165" s="36" t="s">
        <v>904</v>
      </c>
      <c r="E165" s="37" t="s">
        <v>905</v>
      </c>
      <c r="F165" s="38">
        <v>1440976</v>
      </c>
      <c r="G165" s="39">
        <v>44967</v>
      </c>
      <c r="H165" s="39">
        <v>44967</v>
      </c>
      <c r="I165" s="39">
        <v>45332</v>
      </c>
      <c r="J165" s="83" t="s">
        <v>30</v>
      </c>
      <c r="K165" s="40" t="s">
        <v>955</v>
      </c>
      <c r="L165" s="41" t="s">
        <v>35</v>
      </c>
      <c r="M165" s="35" t="s">
        <v>34</v>
      </c>
    </row>
    <row r="166" spans="1:13" ht="82.5" customHeight="1">
      <c r="A166" s="96" t="str">
        <f t="shared" si="3"/>
        <v>23EB0068ADVANCE PAYMENT BOND</v>
      </c>
      <c r="B166" s="136">
        <v>117</v>
      </c>
      <c r="C166" s="42" t="s">
        <v>895</v>
      </c>
      <c r="D166" s="36" t="s">
        <v>896</v>
      </c>
      <c r="E166" s="37" t="s">
        <v>897</v>
      </c>
      <c r="F166" s="38">
        <v>727552.5</v>
      </c>
      <c r="G166" s="39">
        <v>44967</v>
      </c>
      <c r="H166" s="39">
        <v>44967</v>
      </c>
      <c r="I166" s="39">
        <v>45332</v>
      </c>
      <c r="J166" s="83" t="s">
        <v>30</v>
      </c>
      <c r="K166" s="40" t="s">
        <v>956</v>
      </c>
      <c r="L166" s="41" t="s">
        <v>35</v>
      </c>
      <c r="M166" s="35" t="s">
        <v>34</v>
      </c>
    </row>
    <row r="167" spans="1:13" ht="82.5" customHeight="1">
      <c r="A167" s="96" t="str">
        <f t="shared" si="3"/>
        <v>23EB0064ADVANCE PAYMENT BOND</v>
      </c>
      <c r="B167" s="136">
        <v>118</v>
      </c>
      <c r="C167" s="42" t="s">
        <v>899</v>
      </c>
      <c r="D167" s="36" t="s">
        <v>900</v>
      </c>
      <c r="E167" s="37" t="s">
        <v>901</v>
      </c>
      <c r="F167" s="38">
        <v>1328500</v>
      </c>
      <c r="G167" s="39">
        <v>44967</v>
      </c>
      <c r="H167" s="39">
        <v>44967</v>
      </c>
      <c r="I167" s="39">
        <v>45332</v>
      </c>
      <c r="J167" s="83" t="s">
        <v>30</v>
      </c>
      <c r="K167" s="40" t="s">
        <v>957</v>
      </c>
      <c r="L167" s="41" t="s">
        <v>35</v>
      </c>
      <c r="M167" s="35" t="s">
        <v>34</v>
      </c>
    </row>
    <row r="168" spans="1:13" ht="82.5" customHeight="1">
      <c r="A168" s="96" t="str">
        <f t="shared" si="3"/>
        <v>23EB0057ADVANCE PAYMENT BOND</v>
      </c>
      <c r="B168" s="136">
        <v>118</v>
      </c>
      <c r="C168" s="42" t="s">
        <v>919</v>
      </c>
      <c r="D168" s="36" t="s">
        <v>958</v>
      </c>
      <c r="E168" s="37" t="s">
        <v>959</v>
      </c>
      <c r="F168" s="38">
        <v>727497.5</v>
      </c>
      <c r="G168" s="39">
        <v>44971</v>
      </c>
      <c r="H168" s="39">
        <v>44971</v>
      </c>
      <c r="I168" s="39">
        <v>45336</v>
      </c>
      <c r="J168" s="83" t="s">
        <v>30</v>
      </c>
      <c r="K168" s="40" t="s">
        <v>960</v>
      </c>
      <c r="L168" s="41" t="s">
        <v>35</v>
      </c>
      <c r="M168" s="35" t="s">
        <v>34</v>
      </c>
    </row>
    <row r="169" spans="1:13" ht="102" customHeight="1">
      <c r="A169" s="96" t="str">
        <f t="shared" si="3"/>
        <v>23EB0056CONTRACTOR'S ALL RISK POLICY</v>
      </c>
      <c r="B169" s="136">
        <v>156</v>
      </c>
      <c r="C169" s="42" t="s">
        <v>961</v>
      </c>
      <c r="D169" s="36" t="s">
        <v>962</v>
      </c>
      <c r="E169" s="37" t="s">
        <v>963</v>
      </c>
      <c r="F169" s="38">
        <v>6788841.7199999997</v>
      </c>
      <c r="G169" s="39">
        <v>44967</v>
      </c>
      <c r="H169" s="39">
        <v>44967</v>
      </c>
      <c r="I169" s="39">
        <v>45332</v>
      </c>
      <c r="J169" s="83" t="s">
        <v>30</v>
      </c>
      <c r="K169" s="40" t="s">
        <v>964</v>
      </c>
      <c r="L169" s="41" t="s">
        <v>32</v>
      </c>
      <c r="M169" s="35" t="s">
        <v>31</v>
      </c>
    </row>
    <row r="170" spans="1:13" ht="102" customHeight="1">
      <c r="A170" s="96" t="str">
        <f t="shared" si="3"/>
        <v>23EB0056PERFORMANCE BOND</v>
      </c>
      <c r="B170" s="136">
        <v>156</v>
      </c>
      <c r="C170" s="42" t="s">
        <v>961</v>
      </c>
      <c r="D170" s="36" t="s">
        <v>962</v>
      </c>
      <c r="E170" s="37" t="s">
        <v>963</v>
      </c>
      <c r="F170" s="38">
        <v>2036652.52</v>
      </c>
      <c r="G170" s="39">
        <v>44967</v>
      </c>
      <c r="H170" s="39">
        <v>44967</v>
      </c>
      <c r="I170" s="39">
        <v>45698</v>
      </c>
      <c r="J170" s="83" t="s">
        <v>27</v>
      </c>
      <c r="K170" s="40" t="s">
        <v>965</v>
      </c>
      <c r="L170" s="41" t="s">
        <v>32</v>
      </c>
      <c r="M170" s="35" t="s">
        <v>40</v>
      </c>
    </row>
    <row r="171" spans="1:13" ht="102" customHeight="1">
      <c r="A171" s="96" t="str">
        <f t="shared" si="3"/>
        <v>23EB0056ADVANCE PAYMENT BOND</v>
      </c>
      <c r="B171" s="136">
        <v>156</v>
      </c>
      <c r="C171" s="42" t="s">
        <v>961</v>
      </c>
      <c r="D171" s="36" t="s">
        <v>962</v>
      </c>
      <c r="E171" s="37" t="s">
        <v>963</v>
      </c>
      <c r="F171" s="38">
        <v>1018326.26</v>
      </c>
      <c r="G171" s="39">
        <v>44977</v>
      </c>
      <c r="H171" s="39">
        <v>44977</v>
      </c>
      <c r="I171" s="39">
        <v>45332</v>
      </c>
      <c r="J171" s="83" t="s">
        <v>30</v>
      </c>
      <c r="K171" s="40" t="s">
        <v>966</v>
      </c>
      <c r="L171" s="41" t="s">
        <v>32</v>
      </c>
      <c r="M171" s="35" t="s">
        <v>34</v>
      </c>
    </row>
    <row r="172" spans="1:13" s="154" customFormat="1" ht="102" customHeight="1">
      <c r="A172" s="139" t="str">
        <f t="shared" si="3"/>
        <v>23EB0057CONTRACTOR'S ALL RISK POLICY</v>
      </c>
      <c r="B172" s="140">
        <v>159</v>
      </c>
      <c r="C172" s="141" t="s">
        <v>919</v>
      </c>
      <c r="D172" s="137" t="s">
        <v>958</v>
      </c>
      <c r="E172" s="142" t="s">
        <v>959</v>
      </c>
      <c r="F172" s="143">
        <v>4849981.83</v>
      </c>
      <c r="G172" s="144">
        <v>44960</v>
      </c>
      <c r="H172" s="144">
        <v>44960</v>
      </c>
      <c r="I172" s="144">
        <v>45325</v>
      </c>
      <c r="J172" s="145" t="s">
        <v>30</v>
      </c>
      <c r="K172" s="146" t="s">
        <v>968</v>
      </c>
      <c r="L172" s="147" t="s">
        <v>28</v>
      </c>
      <c r="M172" s="138" t="s">
        <v>31</v>
      </c>
    </row>
    <row r="173" spans="1:13" ht="86.25" customHeight="1">
      <c r="A173" s="96" t="str">
        <f t="shared" si="3"/>
        <v>23EB0022PERFORMANCE BOND</v>
      </c>
      <c r="B173" s="136">
        <v>129</v>
      </c>
      <c r="C173" s="42" t="s">
        <v>919</v>
      </c>
      <c r="D173" s="36" t="s">
        <v>920</v>
      </c>
      <c r="E173" s="37" t="s">
        <v>921</v>
      </c>
      <c r="F173" s="38">
        <v>13183018.76</v>
      </c>
      <c r="G173" s="144">
        <v>44960</v>
      </c>
      <c r="H173" s="144">
        <v>44960</v>
      </c>
      <c r="I173" s="144">
        <v>45691</v>
      </c>
      <c r="J173" s="145" t="s">
        <v>27</v>
      </c>
      <c r="K173" s="146" t="s">
        <v>969</v>
      </c>
      <c r="L173" s="147" t="s">
        <v>28</v>
      </c>
      <c r="M173" s="138" t="s">
        <v>40</v>
      </c>
    </row>
    <row r="174" spans="1:13" s="154" customFormat="1" ht="102" customHeight="1">
      <c r="A174" s="139" t="str">
        <f t="shared" si="3"/>
        <v>23EB0057PERFORMANCE BOND</v>
      </c>
      <c r="B174" s="140">
        <v>159</v>
      </c>
      <c r="C174" s="141" t="s">
        <v>919</v>
      </c>
      <c r="D174" s="137" t="s">
        <v>958</v>
      </c>
      <c r="E174" s="142" t="s">
        <v>959</v>
      </c>
      <c r="F174" s="143">
        <v>1454994.55</v>
      </c>
      <c r="G174" s="144">
        <v>44960</v>
      </c>
      <c r="H174" s="144">
        <v>44960</v>
      </c>
      <c r="I174" s="144">
        <v>45691</v>
      </c>
      <c r="J174" s="145" t="s">
        <v>27</v>
      </c>
      <c r="K174" s="146" t="s">
        <v>970</v>
      </c>
      <c r="L174" s="147" t="s">
        <v>28</v>
      </c>
      <c r="M174" s="138" t="s">
        <v>40</v>
      </c>
    </row>
    <row r="175" spans="1:13" ht="102" customHeight="1">
      <c r="A175" s="96" t="str">
        <f t="shared" si="3"/>
        <v>22EB0047RETENTION BOND</v>
      </c>
      <c r="B175" s="136">
        <v>162</v>
      </c>
      <c r="C175" s="42" t="s">
        <v>971</v>
      </c>
      <c r="D175" s="36" t="s">
        <v>972</v>
      </c>
      <c r="E175" s="37" t="s">
        <v>973</v>
      </c>
      <c r="F175" s="38">
        <v>4115750.11</v>
      </c>
      <c r="G175" s="39">
        <v>44972</v>
      </c>
      <c r="H175" s="39">
        <v>44972</v>
      </c>
      <c r="I175" s="39">
        <v>45337</v>
      </c>
      <c r="J175" s="83" t="s">
        <v>30</v>
      </c>
      <c r="K175" s="40" t="s">
        <v>974</v>
      </c>
      <c r="L175" s="41" t="s">
        <v>32</v>
      </c>
      <c r="M175" s="35" t="s">
        <v>33</v>
      </c>
    </row>
    <row r="176" spans="1:13" ht="102" customHeight="1">
      <c r="A176" s="96" t="str">
        <f t="shared" si="3"/>
        <v>21EB0028RETENTION BOND</v>
      </c>
      <c r="B176" s="136">
        <v>162</v>
      </c>
      <c r="C176" s="42" t="s">
        <v>58</v>
      </c>
      <c r="D176" s="36" t="s">
        <v>975</v>
      </c>
      <c r="E176" s="37" t="s">
        <v>976</v>
      </c>
      <c r="F176" s="38">
        <v>4115750.11</v>
      </c>
      <c r="G176" s="39">
        <v>44972</v>
      </c>
      <c r="H176" s="39">
        <v>44972</v>
      </c>
      <c r="I176" s="39">
        <v>45337</v>
      </c>
      <c r="J176" s="83" t="s">
        <v>30</v>
      </c>
      <c r="K176" s="40" t="s">
        <v>974</v>
      </c>
      <c r="L176" s="41" t="s">
        <v>32</v>
      </c>
      <c r="M176" s="35" t="s">
        <v>33</v>
      </c>
    </row>
    <row r="177" spans="1:13" ht="102" customHeight="1">
      <c r="A177" s="96" t="str">
        <f t="shared" si="3"/>
        <v>23EB0030CONTRACTOR'S ALL RISK POLICY</v>
      </c>
      <c r="B177" s="136">
        <v>164</v>
      </c>
      <c r="C177" s="42" t="s">
        <v>977</v>
      </c>
      <c r="D177" s="36" t="s">
        <v>978</v>
      </c>
      <c r="E177" s="37" t="s">
        <v>979</v>
      </c>
      <c r="F177" s="38">
        <v>43283462.539999999</v>
      </c>
      <c r="G177" s="39">
        <v>44986</v>
      </c>
      <c r="H177" s="39">
        <v>44986</v>
      </c>
      <c r="I177" s="39">
        <v>45214</v>
      </c>
      <c r="J177" s="83" t="s">
        <v>30</v>
      </c>
      <c r="K177" s="40" t="s">
        <v>980</v>
      </c>
      <c r="L177" s="41" t="s">
        <v>69</v>
      </c>
      <c r="M177" s="35" t="s">
        <v>31</v>
      </c>
    </row>
    <row r="178" spans="1:13" ht="102" customHeight="1">
      <c r="A178" s="96" t="str">
        <f t="shared" si="3"/>
        <v>23EB0030PERFORMANCE BOND</v>
      </c>
      <c r="B178" s="136">
        <v>164</v>
      </c>
      <c r="C178" s="42" t="s">
        <v>977</v>
      </c>
      <c r="D178" s="36" t="s">
        <v>978</v>
      </c>
      <c r="E178" s="37" t="s">
        <v>979</v>
      </c>
      <c r="F178" s="38">
        <v>12985038.800000001</v>
      </c>
      <c r="G178" s="39">
        <v>44986</v>
      </c>
      <c r="H178" s="39">
        <v>44986</v>
      </c>
      <c r="I178" s="39">
        <v>45717</v>
      </c>
      <c r="J178" s="83" t="s">
        <v>30</v>
      </c>
      <c r="K178" s="40" t="s">
        <v>981</v>
      </c>
      <c r="L178" s="41" t="s">
        <v>69</v>
      </c>
      <c r="M178" s="35" t="s">
        <v>40</v>
      </c>
    </row>
    <row r="179" spans="1:13" ht="102" customHeight="1">
      <c r="A179" s="96" t="str">
        <f t="shared" si="3"/>
        <v>23EB0025PERFORMANCE BOND</v>
      </c>
      <c r="B179" s="136">
        <v>166</v>
      </c>
      <c r="C179" s="42" t="s">
        <v>735</v>
      </c>
      <c r="D179" s="36" t="s">
        <v>982</v>
      </c>
      <c r="E179" s="37" t="s">
        <v>983</v>
      </c>
      <c r="F179" s="38">
        <v>14486666.5</v>
      </c>
      <c r="G179" s="39">
        <v>44986</v>
      </c>
      <c r="H179" s="39">
        <v>44986</v>
      </c>
      <c r="I179" s="39">
        <v>45717</v>
      </c>
      <c r="J179" s="83" t="s">
        <v>30</v>
      </c>
      <c r="K179" s="40" t="s">
        <v>984</v>
      </c>
      <c r="L179" s="41" t="s">
        <v>69</v>
      </c>
      <c r="M179" s="35" t="s">
        <v>40</v>
      </c>
    </row>
    <row r="180" spans="1:13" ht="102" customHeight="1">
      <c r="A180" s="96" t="str">
        <f t="shared" si="3"/>
        <v>23EB0025CONTRACTOR'S ALL RISK POLICY</v>
      </c>
      <c r="B180" s="136">
        <v>166</v>
      </c>
      <c r="C180" s="42" t="s">
        <v>735</v>
      </c>
      <c r="D180" s="36" t="s">
        <v>982</v>
      </c>
      <c r="E180" s="37" t="s">
        <v>983</v>
      </c>
      <c r="F180" s="38">
        <v>48288888.270000003</v>
      </c>
      <c r="G180" s="39">
        <v>44986</v>
      </c>
      <c r="H180" s="39">
        <v>44986</v>
      </c>
      <c r="I180" s="39">
        <v>45214</v>
      </c>
      <c r="J180" s="83" t="s">
        <v>30</v>
      </c>
      <c r="K180" s="40" t="s">
        <v>985</v>
      </c>
      <c r="L180" s="41" t="s">
        <v>69</v>
      </c>
      <c r="M180" s="35" t="s">
        <v>31</v>
      </c>
    </row>
    <row r="181" spans="1:13" ht="102" customHeight="1">
      <c r="A181" s="96" t="str">
        <f t="shared" si="3"/>
        <v>23EB0031CONTRACTOR'S ALL RISK POLICY</v>
      </c>
      <c r="B181" s="136">
        <v>168</v>
      </c>
      <c r="C181" s="42" t="s">
        <v>919</v>
      </c>
      <c r="D181" s="36" t="s">
        <v>986</v>
      </c>
      <c r="E181" s="37" t="s">
        <v>987</v>
      </c>
      <c r="F181" s="38">
        <v>43626648.240000002</v>
      </c>
      <c r="G181" s="39">
        <v>44986</v>
      </c>
      <c r="H181" s="39">
        <v>44986</v>
      </c>
      <c r="I181" s="39">
        <v>45214</v>
      </c>
      <c r="J181" s="83" t="s">
        <v>30</v>
      </c>
      <c r="K181" s="40" t="s">
        <v>988</v>
      </c>
      <c r="L181" s="41" t="s">
        <v>69</v>
      </c>
      <c r="M181" s="35" t="s">
        <v>31</v>
      </c>
    </row>
    <row r="182" spans="1:13" ht="102" customHeight="1">
      <c r="A182" s="96" t="str">
        <f t="shared" si="3"/>
        <v>23EB0031PERFORMANCE BOND</v>
      </c>
      <c r="B182" s="136">
        <v>168</v>
      </c>
      <c r="C182" s="42" t="s">
        <v>919</v>
      </c>
      <c r="D182" s="36" t="s">
        <v>986</v>
      </c>
      <c r="E182" s="37" t="s">
        <v>987</v>
      </c>
      <c r="F182" s="38">
        <v>13087994.5</v>
      </c>
      <c r="G182" s="39">
        <v>44986</v>
      </c>
      <c r="H182" s="39">
        <v>44986</v>
      </c>
      <c r="I182" s="39">
        <v>45717</v>
      </c>
      <c r="J182" s="83" t="s">
        <v>30</v>
      </c>
      <c r="K182" s="40" t="s">
        <v>989</v>
      </c>
      <c r="L182" s="41" t="s">
        <v>69</v>
      </c>
      <c r="M182" s="35" t="s">
        <v>40</v>
      </c>
    </row>
    <row r="183" spans="1:13" ht="102" customHeight="1">
      <c r="A183" s="96" t="str">
        <f t="shared" si="3"/>
        <v>22EB0098RETENTION BOND</v>
      </c>
      <c r="B183" s="136">
        <v>170</v>
      </c>
      <c r="C183" s="42" t="s">
        <v>36</v>
      </c>
      <c r="D183" s="36" t="s">
        <v>223</v>
      </c>
      <c r="E183" s="37" t="s">
        <v>224</v>
      </c>
      <c r="F183" s="38">
        <v>4947352</v>
      </c>
      <c r="G183" s="39">
        <v>44979</v>
      </c>
      <c r="H183" s="39">
        <v>44979</v>
      </c>
      <c r="I183" s="39">
        <v>45344</v>
      </c>
      <c r="J183" s="83" t="s">
        <v>30</v>
      </c>
      <c r="K183" s="40" t="s">
        <v>990</v>
      </c>
      <c r="L183" s="41" t="s">
        <v>35</v>
      </c>
      <c r="M183" s="35" t="s">
        <v>33</v>
      </c>
    </row>
    <row r="184" spans="1:13" s="43" customFormat="1" ht="102" customHeight="1">
      <c r="A184" s="96" t="str">
        <f t="shared" si="3"/>
        <v>20EB0054WARRANTY BOND</v>
      </c>
      <c r="B184" s="136">
        <v>171</v>
      </c>
      <c r="C184" s="42" t="s">
        <v>227</v>
      </c>
      <c r="D184" s="36" t="s">
        <v>228</v>
      </c>
      <c r="E184" s="37" t="s">
        <v>229</v>
      </c>
      <c r="F184" s="38">
        <v>10406510</v>
      </c>
      <c r="G184" s="39">
        <v>45006</v>
      </c>
      <c r="H184" s="39">
        <v>45006</v>
      </c>
      <c r="I184" s="39">
        <v>45372</v>
      </c>
      <c r="J184" s="83" t="s">
        <v>30</v>
      </c>
      <c r="K184" s="40" t="s">
        <v>991</v>
      </c>
      <c r="L184" s="41" t="s">
        <v>35</v>
      </c>
      <c r="M184" s="35" t="s">
        <v>37</v>
      </c>
    </row>
    <row r="185" spans="1:13" s="43" customFormat="1" ht="102" customHeight="1">
      <c r="A185" s="96" t="str">
        <f t="shared" ref="A185:A219" si="4">D185&amp;M185</f>
        <v>20EB0049WARRANTY BOND</v>
      </c>
      <c r="B185" s="136">
        <v>171</v>
      </c>
      <c r="C185" s="42" t="s">
        <v>227</v>
      </c>
      <c r="D185" s="36" t="s">
        <v>992</v>
      </c>
      <c r="E185" s="37" t="s">
        <v>993</v>
      </c>
      <c r="F185" s="38">
        <v>14698584.5</v>
      </c>
      <c r="G185" s="39">
        <v>45013</v>
      </c>
      <c r="H185" s="39">
        <v>45013</v>
      </c>
      <c r="I185" s="39">
        <v>45379</v>
      </c>
      <c r="J185" s="83" t="s">
        <v>30</v>
      </c>
      <c r="K185" s="40" t="s">
        <v>994</v>
      </c>
      <c r="L185" s="41" t="s">
        <v>35</v>
      </c>
      <c r="M185" s="35" t="s">
        <v>37</v>
      </c>
    </row>
    <row r="186" spans="1:13" s="43" customFormat="1" ht="102" customHeight="1">
      <c r="A186" s="96" t="str">
        <f t="shared" si="4"/>
        <v>23EB0007PERFORMANCE BOND</v>
      </c>
      <c r="B186" s="136">
        <v>173</v>
      </c>
      <c r="C186" s="42" t="s">
        <v>995</v>
      </c>
      <c r="D186" s="36" t="s">
        <v>999</v>
      </c>
      <c r="E186" s="37" t="s">
        <v>996</v>
      </c>
      <c r="F186" s="38">
        <v>2884552.39</v>
      </c>
      <c r="G186" s="39">
        <v>44959</v>
      </c>
      <c r="H186" s="39">
        <v>44959</v>
      </c>
      <c r="I186" s="39">
        <v>45690</v>
      </c>
      <c r="J186" s="83" t="s">
        <v>569</v>
      </c>
      <c r="K186" s="40" t="s">
        <v>997</v>
      </c>
      <c r="L186" s="41" t="s">
        <v>39</v>
      </c>
      <c r="M186" s="35" t="s">
        <v>40</v>
      </c>
    </row>
    <row r="187" spans="1:13" s="43" customFormat="1" ht="102" customHeight="1">
      <c r="A187" s="96" t="str">
        <f t="shared" si="4"/>
        <v>23EB0007CONTRACTOR'S ALL RISK POLICY</v>
      </c>
      <c r="B187" s="136">
        <v>173</v>
      </c>
      <c r="C187" s="42" t="s">
        <v>995</v>
      </c>
      <c r="D187" s="36" t="s">
        <v>999</v>
      </c>
      <c r="E187" s="37" t="s">
        <v>996</v>
      </c>
      <c r="F187" s="38">
        <v>9615174.6300000008</v>
      </c>
      <c r="G187" s="39">
        <v>44959</v>
      </c>
      <c r="H187" s="39">
        <v>44959</v>
      </c>
      <c r="I187" s="39">
        <v>45690</v>
      </c>
      <c r="J187" s="83" t="s">
        <v>569</v>
      </c>
      <c r="K187" s="40" t="s">
        <v>1000</v>
      </c>
      <c r="L187" s="41" t="s">
        <v>39</v>
      </c>
      <c r="M187" s="35" t="s">
        <v>31</v>
      </c>
    </row>
    <row r="188" spans="1:13" s="43" customFormat="1" ht="102" customHeight="1">
      <c r="A188" s="96" t="str">
        <f t="shared" si="4"/>
        <v>23EB0007ADVANCE PAYMENT BOND</v>
      </c>
      <c r="B188" s="136">
        <v>173</v>
      </c>
      <c r="C188" s="42" t="s">
        <v>995</v>
      </c>
      <c r="D188" s="36" t="s">
        <v>999</v>
      </c>
      <c r="E188" s="37" t="s">
        <v>996</v>
      </c>
      <c r="F188" s="38">
        <v>1442276.19</v>
      </c>
      <c r="G188" s="39">
        <v>44970</v>
      </c>
      <c r="H188" s="39">
        <v>44970</v>
      </c>
      <c r="I188" s="42" t="s">
        <v>1001</v>
      </c>
      <c r="J188" s="83" t="s">
        <v>30</v>
      </c>
      <c r="K188" s="40" t="s">
        <v>1002</v>
      </c>
      <c r="L188" s="41" t="s">
        <v>39</v>
      </c>
      <c r="M188" s="35" t="s">
        <v>34</v>
      </c>
    </row>
    <row r="189" spans="1:13" s="43" customFormat="1" ht="102" customHeight="1">
      <c r="A189" s="96" t="str">
        <f t="shared" si="4"/>
        <v>23EB0008PERFORMANCE BOND</v>
      </c>
      <c r="B189" s="136">
        <v>173</v>
      </c>
      <c r="C189" s="42" t="s">
        <v>995</v>
      </c>
      <c r="D189" s="36" t="s">
        <v>1003</v>
      </c>
      <c r="E189" s="37" t="s">
        <v>1004</v>
      </c>
      <c r="F189" s="38">
        <v>2159680.39</v>
      </c>
      <c r="G189" s="39">
        <v>44959</v>
      </c>
      <c r="H189" s="39">
        <v>44959</v>
      </c>
      <c r="I189" s="39">
        <v>45690</v>
      </c>
      <c r="J189" s="83" t="s">
        <v>569</v>
      </c>
      <c r="K189" s="40" t="s">
        <v>1005</v>
      </c>
      <c r="L189" s="41" t="s">
        <v>39</v>
      </c>
      <c r="M189" s="35" t="s">
        <v>40</v>
      </c>
    </row>
    <row r="190" spans="1:13" s="43" customFormat="1" ht="102" customHeight="1">
      <c r="A190" s="96" t="str">
        <f t="shared" si="4"/>
        <v>23EB0008CONTRACTOR'S ALL RISK POLICY</v>
      </c>
      <c r="B190" s="136">
        <v>173</v>
      </c>
      <c r="C190" s="42" t="s">
        <v>995</v>
      </c>
      <c r="D190" s="36" t="s">
        <v>1003</v>
      </c>
      <c r="E190" s="37" t="s">
        <v>1004</v>
      </c>
      <c r="F190" s="38">
        <v>7198934.6399999997</v>
      </c>
      <c r="G190" s="39">
        <v>44959</v>
      </c>
      <c r="H190" s="39">
        <v>44959</v>
      </c>
      <c r="I190" s="39">
        <v>45690</v>
      </c>
      <c r="J190" s="83" t="s">
        <v>569</v>
      </c>
      <c r="K190" s="40" t="s">
        <v>1006</v>
      </c>
      <c r="L190" s="41" t="s">
        <v>39</v>
      </c>
      <c r="M190" s="35" t="s">
        <v>31</v>
      </c>
    </row>
    <row r="191" spans="1:13" s="43" customFormat="1" ht="102" customHeight="1">
      <c r="A191" s="96" t="str">
        <f t="shared" si="4"/>
        <v>23EB0008ADVANCE PAYMENT BOND</v>
      </c>
      <c r="B191" s="136">
        <v>173</v>
      </c>
      <c r="C191" s="42" t="s">
        <v>995</v>
      </c>
      <c r="D191" s="36" t="s">
        <v>1003</v>
      </c>
      <c r="E191" s="37" t="s">
        <v>1004</v>
      </c>
      <c r="F191" s="38">
        <v>1079840.2</v>
      </c>
      <c r="G191" s="39">
        <v>44970</v>
      </c>
      <c r="H191" s="39">
        <v>44970</v>
      </c>
      <c r="I191" s="42" t="s">
        <v>1001</v>
      </c>
      <c r="J191" s="83" t="s">
        <v>30</v>
      </c>
      <c r="K191" s="40" t="s">
        <v>1007</v>
      </c>
      <c r="L191" s="41" t="s">
        <v>39</v>
      </c>
      <c r="M191" s="35" t="s">
        <v>34</v>
      </c>
    </row>
    <row r="192" spans="1:13" s="43" customFormat="1" ht="102" customHeight="1">
      <c r="A192" s="96" t="str">
        <f t="shared" si="4"/>
        <v>23EB0010PERFORMANCE BOND</v>
      </c>
      <c r="B192" s="136">
        <v>173</v>
      </c>
      <c r="C192" s="42" t="s">
        <v>995</v>
      </c>
      <c r="D192" s="36" t="s">
        <v>1008</v>
      </c>
      <c r="E192" s="37" t="s">
        <v>1009</v>
      </c>
      <c r="F192" s="38">
        <v>1042855.29</v>
      </c>
      <c r="G192" s="39">
        <v>44959</v>
      </c>
      <c r="H192" s="39">
        <v>44959</v>
      </c>
      <c r="I192" s="39">
        <v>45690</v>
      </c>
      <c r="J192" s="83" t="s">
        <v>569</v>
      </c>
      <c r="K192" s="40" t="s">
        <v>1010</v>
      </c>
      <c r="L192" s="41" t="s">
        <v>39</v>
      </c>
      <c r="M192" s="35" t="s">
        <v>40</v>
      </c>
    </row>
    <row r="193" spans="1:13" s="43" customFormat="1" ht="102" customHeight="1">
      <c r="A193" s="96" t="str">
        <f t="shared" si="4"/>
        <v>23EB0010CONTRACTOR'S ALL RISK POLICY</v>
      </c>
      <c r="B193" s="136">
        <v>173</v>
      </c>
      <c r="C193" s="42" t="s">
        <v>995</v>
      </c>
      <c r="D193" s="36" t="s">
        <v>1008</v>
      </c>
      <c r="E193" s="37" t="s">
        <v>1009</v>
      </c>
      <c r="F193" s="38">
        <v>3476184.31</v>
      </c>
      <c r="G193" s="39">
        <v>44959</v>
      </c>
      <c r="H193" s="39">
        <v>44959</v>
      </c>
      <c r="I193" s="39">
        <v>45690</v>
      </c>
      <c r="J193" s="83" t="s">
        <v>569</v>
      </c>
      <c r="K193" s="40" t="s">
        <v>1011</v>
      </c>
      <c r="L193" s="41" t="s">
        <v>39</v>
      </c>
      <c r="M193" s="35" t="s">
        <v>31</v>
      </c>
    </row>
    <row r="194" spans="1:13" s="43" customFormat="1" ht="102" customHeight="1">
      <c r="A194" s="96" t="str">
        <f t="shared" si="4"/>
        <v>23EB0010ADVANCE PAYMENT BOND</v>
      </c>
      <c r="B194" s="136">
        <v>173</v>
      </c>
      <c r="C194" s="42" t="s">
        <v>995</v>
      </c>
      <c r="D194" s="36" t="s">
        <v>1008</v>
      </c>
      <c r="E194" s="37" t="s">
        <v>1009</v>
      </c>
      <c r="F194" s="38">
        <v>521427.65</v>
      </c>
      <c r="G194" s="39">
        <v>44970</v>
      </c>
      <c r="H194" s="39">
        <v>44970</v>
      </c>
      <c r="I194" s="42" t="s">
        <v>1001</v>
      </c>
      <c r="J194" s="83" t="s">
        <v>30</v>
      </c>
      <c r="K194" s="40" t="s">
        <v>1012</v>
      </c>
      <c r="L194" s="41" t="s">
        <v>39</v>
      </c>
      <c r="M194" s="35" t="s">
        <v>34</v>
      </c>
    </row>
    <row r="195" spans="1:13" s="43" customFormat="1" ht="102" customHeight="1">
      <c r="A195" s="96" t="str">
        <f t="shared" si="4"/>
        <v>23EB0044PERFORMANCE BOND</v>
      </c>
      <c r="B195" s="136">
        <v>173</v>
      </c>
      <c r="C195" s="42" t="s">
        <v>995</v>
      </c>
      <c r="D195" s="36" t="s">
        <v>1013</v>
      </c>
      <c r="E195" s="37" t="s">
        <v>1014</v>
      </c>
      <c r="F195" s="38">
        <v>2853699.98</v>
      </c>
      <c r="G195" s="39">
        <v>44959</v>
      </c>
      <c r="H195" s="39">
        <v>44959</v>
      </c>
      <c r="I195" s="39">
        <v>45690</v>
      </c>
      <c r="J195" s="83" t="s">
        <v>569</v>
      </c>
      <c r="K195" s="40" t="s">
        <v>1015</v>
      </c>
      <c r="L195" s="41" t="s">
        <v>39</v>
      </c>
      <c r="M195" s="35" t="s">
        <v>40</v>
      </c>
    </row>
    <row r="196" spans="1:13" s="43" customFormat="1" ht="102" customHeight="1">
      <c r="A196" s="96" t="str">
        <f t="shared" si="4"/>
        <v>23EB0044CONTRACTOR'S ALL RISK POLICY</v>
      </c>
      <c r="B196" s="136">
        <v>173</v>
      </c>
      <c r="C196" s="42" t="s">
        <v>995</v>
      </c>
      <c r="D196" s="36" t="s">
        <v>1013</v>
      </c>
      <c r="E196" s="37" t="s">
        <v>1014</v>
      </c>
      <c r="F196" s="38">
        <v>9512333.2799999993</v>
      </c>
      <c r="G196" s="39">
        <v>44959</v>
      </c>
      <c r="H196" s="39">
        <v>44959</v>
      </c>
      <c r="I196" s="39">
        <v>45690</v>
      </c>
      <c r="J196" s="83" t="s">
        <v>569</v>
      </c>
      <c r="K196" s="40" t="s">
        <v>1016</v>
      </c>
      <c r="L196" s="41" t="s">
        <v>39</v>
      </c>
      <c r="M196" s="35" t="s">
        <v>31</v>
      </c>
    </row>
    <row r="197" spans="1:13" s="43" customFormat="1" ht="102" customHeight="1">
      <c r="A197" s="96" t="str">
        <f t="shared" si="4"/>
        <v>23EB0044ADVANCE PAYMENT BOND</v>
      </c>
      <c r="B197" s="136">
        <v>173</v>
      </c>
      <c r="C197" s="42" t="s">
        <v>995</v>
      </c>
      <c r="D197" s="36" t="s">
        <v>1013</v>
      </c>
      <c r="E197" s="37" t="s">
        <v>1014</v>
      </c>
      <c r="F197" s="38">
        <v>1426849.99</v>
      </c>
      <c r="G197" s="39">
        <v>44970</v>
      </c>
      <c r="H197" s="39">
        <v>44970</v>
      </c>
      <c r="I197" s="42" t="s">
        <v>1001</v>
      </c>
      <c r="J197" s="83" t="s">
        <v>30</v>
      </c>
      <c r="K197" s="40" t="s">
        <v>1017</v>
      </c>
      <c r="L197" s="41" t="s">
        <v>39</v>
      </c>
      <c r="M197" s="35" t="s">
        <v>34</v>
      </c>
    </row>
    <row r="198" spans="1:13" ht="79.5" customHeight="1">
      <c r="A198" s="96" t="str">
        <f t="shared" si="4"/>
        <v>22EB0063RETENTION BOND</v>
      </c>
      <c r="B198" s="136">
        <v>185</v>
      </c>
      <c r="C198" s="42" t="s">
        <v>41</v>
      </c>
      <c r="D198" s="36" t="s">
        <v>1018</v>
      </c>
      <c r="E198" s="37" t="s">
        <v>1019</v>
      </c>
      <c r="F198" s="38">
        <v>494928.16</v>
      </c>
      <c r="G198" s="39">
        <v>44980</v>
      </c>
      <c r="H198" s="39">
        <v>44980</v>
      </c>
      <c r="I198" s="39">
        <v>45345</v>
      </c>
      <c r="J198" s="83" t="s">
        <v>30</v>
      </c>
      <c r="K198" s="40" t="s">
        <v>1020</v>
      </c>
      <c r="L198" s="41" t="s">
        <v>35</v>
      </c>
      <c r="M198" s="35" t="s">
        <v>33</v>
      </c>
    </row>
    <row r="199" spans="1:13" ht="79.5" customHeight="1">
      <c r="A199" s="96" t="str">
        <f t="shared" si="4"/>
        <v>17EB0083WARRANTY BOND</v>
      </c>
      <c r="B199" s="136">
        <v>186</v>
      </c>
      <c r="C199" s="42" t="s">
        <v>507</v>
      </c>
      <c r="D199" s="36" t="s">
        <v>508</v>
      </c>
      <c r="E199" s="37" t="s">
        <v>1021</v>
      </c>
      <c r="F199" s="38">
        <v>14692991.449999999</v>
      </c>
      <c r="G199" s="39">
        <v>43528</v>
      </c>
      <c r="H199" s="39">
        <v>43528</v>
      </c>
      <c r="I199" s="39">
        <v>43894</v>
      </c>
      <c r="J199" s="83" t="s">
        <v>30</v>
      </c>
      <c r="K199" s="40" t="s">
        <v>510</v>
      </c>
      <c r="L199" s="41" t="s">
        <v>28</v>
      </c>
      <c r="M199" s="35" t="s">
        <v>37</v>
      </c>
    </row>
    <row r="200" spans="1:13" ht="79.5" customHeight="1">
      <c r="A200" s="96" t="str">
        <f t="shared" si="4"/>
        <v>17EB0059-R1WARRANTY BOND</v>
      </c>
      <c r="B200" s="136">
        <v>186</v>
      </c>
      <c r="C200" s="42" t="s">
        <v>507</v>
      </c>
      <c r="D200" s="36" t="s">
        <v>511</v>
      </c>
      <c r="E200" s="37" t="s">
        <v>1022</v>
      </c>
      <c r="F200" s="38">
        <v>10502750.43</v>
      </c>
      <c r="G200" s="39">
        <v>43656</v>
      </c>
      <c r="H200" s="39">
        <v>43656</v>
      </c>
      <c r="I200" s="39">
        <v>44022</v>
      </c>
      <c r="J200" s="83" t="s">
        <v>30</v>
      </c>
      <c r="K200" s="40" t="s">
        <v>513</v>
      </c>
      <c r="L200" s="41" t="s">
        <v>28</v>
      </c>
      <c r="M200" s="35" t="s">
        <v>37</v>
      </c>
    </row>
    <row r="201" spans="1:13" ht="135.75" customHeight="1">
      <c r="A201" s="96" t="str">
        <f t="shared" si="4"/>
        <v>23EB0034CONTRACTOR'S ALL RISK POLICY</v>
      </c>
      <c r="B201" s="136">
        <v>188</v>
      </c>
      <c r="C201" s="42" t="s">
        <v>67</v>
      </c>
      <c r="D201" s="36" t="s">
        <v>1023</v>
      </c>
      <c r="E201" s="37" t="s">
        <v>1024</v>
      </c>
      <c r="F201" s="38">
        <v>42853472.960000001</v>
      </c>
      <c r="G201" s="39">
        <v>44988</v>
      </c>
      <c r="H201" s="39">
        <v>44988</v>
      </c>
      <c r="I201" s="39">
        <v>45354</v>
      </c>
      <c r="J201" s="83" t="s">
        <v>30</v>
      </c>
      <c r="K201" s="40" t="s">
        <v>1025</v>
      </c>
      <c r="L201" s="41" t="s">
        <v>35</v>
      </c>
      <c r="M201" s="35" t="s">
        <v>31</v>
      </c>
    </row>
    <row r="202" spans="1:13" ht="135.75" customHeight="1">
      <c r="A202" s="96" t="str">
        <f t="shared" si="4"/>
        <v>23EB0034PERFORMANCE BOND</v>
      </c>
      <c r="B202" s="136">
        <v>188</v>
      </c>
      <c r="C202" s="42" t="s">
        <v>67</v>
      </c>
      <c r="D202" s="36" t="s">
        <v>1023</v>
      </c>
      <c r="E202" s="37" t="s">
        <v>1024</v>
      </c>
      <c r="F202" s="38">
        <v>12856042</v>
      </c>
      <c r="G202" s="39">
        <v>44988</v>
      </c>
      <c r="H202" s="39">
        <v>44988</v>
      </c>
      <c r="I202" s="39">
        <v>45719</v>
      </c>
      <c r="J202" s="83" t="s">
        <v>27</v>
      </c>
      <c r="K202" s="40" t="s">
        <v>1026</v>
      </c>
      <c r="L202" s="41" t="s">
        <v>35</v>
      </c>
      <c r="M202" s="35" t="s">
        <v>40</v>
      </c>
    </row>
    <row r="203" spans="1:13" ht="135.75" customHeight="1">
      <c r="A203" s="96" t="str">
        <f t="shared" si="4"/>
        <v>23EB0029CONTRACTOR'S ALL RISK POLICY</v>
      </c>
      <c r="B203" s="136">
        <v>190</v>
      </c>
      <c r="C203" s="42" t="s">
        <v>1027</v>
      </c>
      <c r="D203" s="36" t="s">
        <v>1028</v>
      </c>
      <c r="E203" s="37" t="s">
        <v>1029</v>
      </c>
      <c r="F203" s="38">
        <v>43958469.18</v>
      </c>
      <c r="G203" s="39">
        <v>44988</v>
      </c>
      <c r="H203" s="39">
        <v>44988</v>
      </c>
      <c r="I203" s="39">
        <v>45354</v>
      </c>
      <c r="J203" s="83" t="s">
        <v>30</v>
      </c>
      <c r="K203" s="40" t="s">
        <v>1030</v>
      </c>
      <c r="L203" s="41" t="s">
        <v>35</v>
      </c>
      <c r="M203" s="35" t="s">
        <v>31</v>
      </c>
    </row>
    <row r="204" spans="1:13" ht="135.75" customHeight="1">
      <c r="A204" s="96" t="str">
        <f t="shared" si="4"/>
        <v>23EB0029PERFORMANCE BOND</v>
      </c>
      <c r="B204" s="136">
        <v>190</v>
      </c>
      <c r="C204" s="42" t="s">
        <v>1027</v>
      </c>
      <c r="D204" s="36" t="s">
        <v>1028</v>
      </c>
      <c r="E204" s="37" t="s">
        <v>1029</v>
      </c>
      <c r="F204" s="38">
        <v>13187514</v>
      </c>
      <c r="G204" s="39">
        <v>44988</v>
      </c>
      <c r="H204" s="39">
        <v>44988</v>
      </c>
      <c r="I204" s="39">
        <v>45719</v>
      </c>
      <c r="J204" s="83" t="s">
        <v>27</v>
      </c>
      <c r="K204" s="40" t="s">
        <v>1031</v>
      </c>
      <c r="L204" s="41" t="s">
        <v>35</v>
      </c>
      <c r="M204" s="35" t="s">
        <v>40</v>
      </c>
    </row>
    <row r="205" spans="1:13" ht="79.5" customHeight="1">
      <c r="A205" s="96" t="str">
        <f t="shared" si="4"/>
        <v>23EB0054-R2CONTRACTOR'S ALL RISK POLICY</v>
      </c>
      <c r="B205" s="136">
        <v>192</v>
      </c>
      <c r="C205" s="42" t="s">
        <v>38</v>
      </c>
      <c r="D205" s="36" t="s">
        <v>1032</v>
      </c>
      <c r="E205" s="37" t="s">
        <v>1033</v>
      </c>
      <c r="F205" s="38">
        <v>4846438.88</v>
      </c>
      <c r="G205" s="39">
        <v>44991</v>
      </c>
      <c r="H205" s="39">
        <v>44991</v>
      </c>
      <c r="I205" s="39">
        <v>45357</v>
      </c>
      <c r="J205" s="83" t="s">
        <v>30</v>
      </c>
      <c r="K205" s="40" t="s">
        <v>1034</v>
      </c>
      <c r="L205" s="41" t="s">
        <v>35</v>
      </c>
      <c r="M205" s="35" t="s">
        <v>31</v>
      </c>
    </row>
    <row r="206" spans="1:13" ht="79.5" customHeight="1">
      <c r="A206" s="96" t="str">
        <f t="shared" si="4"/>
        <v>23EB0054-R2PERFORMANCE BOND</v>
      </c>
      <c r="B206" s="136">
        <v>192</v>
      </c>
      <c r="C206" s="42" t="s">
        <v>38</v>
      </c>
      <c r="D206" s="36" t="s">
        <v>1032</v>
      </c>
      <c r="E206" s="37" t="s">
        <v>1033</v>
      </c>
      <c r="F206" s="38">
        <v>1453931.66</v>
      </c>
      <c r="G206" s="39">
        <v>44991</v>
      </c>
      <c r="H206" s="39">
        <v>44991</v>
      </c>
      <c r="I206" s="39">
        <v>45722</v>
      </c>
      <c r="J206" s="83" t="s">
        <v>27</v>
      </c>
      <c r="K206" s="40" t="s">
        <v>1035</v>
      </c>
      <c r="L206" s="41" t="s">
        <v>35</v>
      </c>
      <c r="M206" s="35" t="s">
        <v>40</v>
      </c>
    </row>
    <row r="207" spans="1:13" ht="79.5" customHeight="1">
      <c r="A207" s="96" t="str">
        <f t="shared" si="4"/>
        <v>23EB0055CONTRACTOR'S ALL RISK POLICY</v>
      </c>
      <c r="B207" s="136">
        <v>194</v>
      </c>
      <c r="C207" s="42" t="s">
        <v>44</v>
      </c>
      <c r="D207" s="36" t="s">
        <v>1036</v>
      </c>
      <c r="E207" s="37" t="s">
        <v>1037</v>
      </c>
      <c r="F207" s="38">
        <v>6798085.0099999998</v>
      </c>
      <c r="G207" s="39">
        <v>44991</v>
      </c>
      <c r="H207" s="39">
        <v>44991</v>
      </c>
      <c r="I207" s="39">
        <v>45357</v>
      </c>
      <c r="J207" s="83" t="s">
        <v>30</v>
      </c>
      <c r="K207" s="40" t="s">
        <v>1038</v>
      </c>
      <c r="L207" s="41" t="s">
        <v>35</v>
      </c>
      <c r="M207" s="35" t="s">
        <v>31</v>
      </c>
    </row>
    <row r="208" spans="1:13" ht="79.5" customHeight="1">
      <c r="A208" s="96" t="str">
        <f t="shared" si="4"/>
        <v>23EB0055PERFORMANCE BOND</v>
      </c>
      <c r="B208" s="136">
        <v>194</v>
      </c>
      <c r="C208" s="42" t="s">
        <v>44</v>
      </c>
      <c r="D208" s="36" t="s">
        <v>1036</v>
      </c>
      <c r="E208" s="37" t="s">
        <v>1037</v>
      </c>
      <c r="F208" s="38">
        <v>2039425.5</v>
      </c>
      <c r="G208" s="39">
        <v>44991</v>
      </c>
      <c r="H208" s="39">
        <v>44991</v>
      </c>
      <c r="I208" s="39">
        <v>45357</v>
      </c>
      <c r="J208" s="83" t="s">
        <v>27</v>
      </c>
      <c r="K208" s="40" t="s">
        <v>1039</v>
      </c>
      <c r="L208" s="41" t="s">
        <v>35</v>
      </c>
      <c r="M208" s="35" t="s">
        <v>40</v>
      </c>
    </row>
    <row r="209" spans="1:13" ht="79.5" customHeight="1">
      <c r="A209" s="96" t="str">
        <f t="shared" si="4"/>
        <v>23EB0070-R1CONTRACTOR'S ALL RISK POLICY</v>
      </c>
      <c r="B209" s="136">
        <v>196</v>
      </c>
      <c r="C209" s="42" t="s">
        <v>44</v>
      </c>
      <c r="D209" s="36" t="s">
        <v>1040</v>
      </c>
      <c r="E209" s="37" t="s">
        <v>1041</v>
      </c>
      <c r="F209" s="38">
        <v>4826387.8</v>
      </c>
      <c r="G209" s="39">
        <v>45002</v>
      </c>
      <c r="H209" s="39">
        <v>45002</v>
      </c>
      <c r="I209" s="39">
        <v>45368</v>
      </c>
      <c r="J209" s="83" t="s">
        <v>30</v>
      </c>
      <c r="K209" s="40" t="s">
        <v>1042</v>
      </c>
      <c r="L209" s="41" t="s">
        <v>69</v>
      </c>
      <c r="M209" s="35" t="s">
        <v>31</v>
      </c>
    </row>
    <row r="210" spans="1:13" ht="79.5" customHeight="1">
      <c r="A210" s="96" t="str">
        <f t="shared" si="4"/>
        <v>23EB0070-R1PERFORMANCE BOND</v>
      </c>
      <c r="B210" s="136">
        <v>196</v>
      </c>
      <c r="C210" s="42" t="s">
        <v>44</v>
      </c>
      <c r="D210" s="36" t="s">
        <v>1040</v>
      </c>
      <c r="E210" s="37" t="s">
        <v>1041</v>
      </c>
      <c r="F210" s="38">
        <v>1447916.5</v>
      </c>
      <c r="G210" s="39">
        <v>45002</v>
      </c>
      <c r="H210" s="39">
        <v>45002</v>
      </c>
      <c r="I210" s="39">
        <v>45733</v>
      </c>
      <c r="J210" s="83" t="s">
        <v>27</v>
      </c>
      <c r="K210" s="40" t="s">
        <v>1043</v>
      </c>
      <c r="L210" s="41" t="s">
        <v>69</v>
      </c>
      <c r="M210" s="35" t="s">
        <v>40</v>
      </c>
    </row>
    <row r="211" spans="1:13" ht="79.5" customHeight="1">
      <c r="A211" s="96" t="str">
        <f>D211&amp;M211</f>
        <v>23EB0082CONTRACTOR'S ALL RISK POLICY</v>
      </c>
      <c r="B211" s="136">
        <v>198</v>
      </c>
      <c r="C211" s="42" t="s">
        <v>453</v>
      </c>
      <c r="D211" s="36" t="s">
        <v>1044</v>
      </c>
      <c r="E211" s="37" t="s">
        <v>1045</v>
      </c>
      <c r="F211" s="38">
        <v>9603945.9399999995</v>
      </c>
      <c r="G211" s="39">
        <v>45002</v>
      </c>
      <c r="H211" s="39">
        <v>45002</v>
      </c>
      <c r="I211" s="39">
        <v>45368</v>
      </c>
      <c r="J211" s="83" t="s">
        <v>30</v>
      </c>
      <c r="K211" s="40" t="s">
        <v>1046</v>
      </c>
      <c r="L211" s="41" t="s">
        <v>69</v>
      </c>
      <c r="M211" s="35" t="s">
        <v>31</v>
      </c>
    </row>
    <row r="212" spans="1:13" ht="79.5" hidden="1" customHeight="1">
      <c r="A212" s="96" t="str">
        <f>D212&amp;M212</f>
        <v>23EB0082PERFORMANCE BOND</v>
      </c>
      <c r="B212" s="136">
        <v>198</v>
      </c>
      <c r="C212" s="42" t="s">
        <v>453</v>
      </c>
      <c r="D212" s="36" t="s">
        <v>1044</v>
      </c>
      <c r="E212" s="37" t="s">
        <v>1045</v>
      </c>
      <c r="F212" s="38">
        <v>2881183.78</v>
      </c>
      <c r="G212" s="39">
        <v>45002</v>
      </c>
      <c r="H212" s="39">
        <v>45002</v>
      </c>
      <c r="I212" s="39">
        <v>45368</v>
      </c>
      <c r="J212" s="83" t="s">
        <v>27</v>
      </c>
      <c r="K212" s="40" t="s">
        <v>1047</v>
      </c>
      <c r="L212" s="41" t="s">
        <v>69</v>
      </c>
      <c r="M212" s="35" t="s">
        <v>40</v>
      </c>
    </row>
    <row r="213" spans="1:13" ht="81" customHeight="1">
      <c r="A213" s="96" t="str">
        <f t="shared" si="4"/>
        <v>23EB0082PERFORMANCE BOND</v>
      </c>
      <c r="B213" s="136">
        <v>200</v>
      </c>
      <c r="C213" s="42" t="s">
        <v>453</v>
      </c>
      <c r="D213" s="36" t="s">
        <v>1044</v>
      </c>
      <c r="E213" s="37" t="s">
        <v>1045</v>
      </c>
      <c r="F213" s="38">
        <v>2881183.78</v>
      </c>
      <c r="G213" s="39">
        <v>45002</v>
      </c>
      <c r="H213" s="39">
        <v>45002</v>
      </c>
      <c r="I213" s="39">
        <v>45368</v>
      </c>
      <c r="J213" s="83" t="s">
        <v>27</v>
      </c>
      <c r="K213" s="40" t="s">
        <v>1047</v>
      </c>
      <c r="L213" s="41" t="s">
        <v>69</v>
      </c>
      <c r="M213" s="35" t="s">
        <v>40</v>
      </c>
    </row>
    <row r="214" spans="1:13" s="116" customFormat="1" ht="81" customHeight="1">
      <c r="A214" s="105" t="str">
        <f t="shared" si="4"/>
        <v>23EB0017-R1CONTRACTOR'S ALL RISK POLICY</v>
      </c>
      <c r="B214" s="106">
        <v>200</v>
      </c>
      <c r="C214" s="119" t="s">
        <v>560</v>
      </c>
      <c r="D214" s="108" t="s">
        <v>1048</v>
      </c>
      <c r="E214" s="109" t="s">
        <v>1049</v>
      </c>
      <c r="F214" s="110">
        <v>9506005.0700000003</v>
      </c>
      <c r="G214" s="111">
        <v>44995</v>
      </c>
      <c r="H214" s="111">
        <v>44995</v>
      </c>
      <c r="I214" s="111">
        <v>45361</v>
      </c>
      <c r="J214" s="113" t="s">
        <v>30</v>
      </c>
      <c r="K214" s="114" t="s">
        <v>1050</v>
      </c>
      <c r="L214" s="115" t="s">
        <v>69</v>
      </c>
      <c r="M214" s="107" t="s">
        <v>31</v>
      </c>
    </row>
    <row r="215" spans="1:13" s="116" customFormat="1" ht="81" customHeight="1">
      <c r="A215" s="105" t="str">
        <f t="shared" si="4"/>
        <v>23EB0082PERFORMANCE BOND</v>
      </c>
      <c r="B215" s="106">
        <v>200</v>
      </c>
      <c r="C215" s="119" t="s">
        <v>453</v>
      </c>
      <c r="D215" s="108" t="s">
        <v>1044</v>
      </c>
      <c r="E215" s="109" t="s">
        <v>1045</v>
      </c>
      <c r="F215" s="110">
        <v>2881183.78</v>
      </c>
      <c r="G215" s="111">
        <v>45002</v>
      </c>
      <c r="H215" s="111">
        <v>45002</v>
      </c>
      <c r="I215" s="111">
        <v>45368</v>
      </c>
      <c r="J215" s="113" t="s">
        <v>27</v>
      </c>
      <c r="K215" s="114" t="s">
        <v>1047</v>
      </c>
      <c r="L215" s="115" t="s">
        <v>69</v>
      </c>
      <c r="M215" s="107" t="s">
        <v>40</v>
      </c>
    </row>
    <row r="216" spans="1:13" s="116" customFormat="1" ht="81" customHeight="1">
      <c r="A216" s="105" t="str">
        <f t="shared" si="4"/>
        <v>23EB0082PERFORMANCE BOND</v>
      </c>
      <c r="B216" s="106">
        <v>200</v>
      </c>
      <c r="C216" s="119" t="s">
        <v>453</v>
      </c>
      <c r="D216" s="108" t="s">
        <v>1044</v>
      </c>
      <c r="E216" s="109" t="s">
        <v>1045</v>
      </c>
      <c r="F216" s="110">
        <v>2881183.78</v>
      </c>
      <c r="G216" s="111">
        <v>45002</v>
      </c>
      <c r="H216" s="111">
        <v>45002</v>
      </c>
      <c r="I216" s="111">
        <v>45368</v>
      </c>
      <c r="J216" s="113" t="s">
        <v>27</v>
      </c>
      <c r="K216" s="114" t="s">
        <v>1047</v>
      </c>
      <c r="L216" s="115" t="s">
        <v>69</v>
      </c>
      <c r="M216" s="107" t="s">
        <v>40</v>
      </c>
    </row>
    <row r="217" spans="1:13" s="116" customFormat="1" ht="81" customHeight="1">
      <c r="A217" s="105" t="str">
        <f t="shared" si="4"/>
        <v>23EB0082PERFORMANCE BOND</v>
      </c>
      <c r="B217" s="106">
        <v>200</v>
      </c>
      <c r="C217" s="119" t="s">
        <v>453</v>
      </c>
      <c r="D217" s="108" t="s">
        <v>1044</v>
      </c>
      <c r="E217" s="109" t="s">
        <v>1045</v>
      </c>
      <c r="F217" s="110">
        <v>2881183.78</v>
      </c>
      <c r="G217" s="111">
        <v>45002</v>
      </c>
      <c r="H217" s="111">
        <v>45002</v>
      </c>
      <c r="I217" s="111">
        <v>45368</v>
      </c>
      <c r="J217" s="113" t="s">
        <v>27</v>
      </c>
      <c r="K217" s="114" t="s">
        <v>1047</v>
      </c>
      <c r="L217" s="115" t="s">
        <v>69</v>
      </c>
      <c r="M217" s="107" t="s">
        <v>40</v>
      </c>
    </row>
    <row r="218" spans="1:13" s="116" customFormat="1" ht="81" customHeight="1">
      <c r="A218" s="105" t="str">
        <f t="shared" si="4"/>
        <v>23EB0082PERFORMANCE BOND</v>
      </c>
      <c r="B218" s="106">
        <v>200</v>
      </c>
      <c r="C218" s="119" t="s">
        <v>453</v>
      </c>
      <c r="D218" s="108" t="s">
        <v>1044</v>
      </c>
      <c r="E218" s="109" t="s">
        <v>1045</v>
      </c>
      <c r="F218" s="110">
        <v>2881183.78</v>
      </c>
      <c r="G218" s="111">
        <v>45002</v>
      </c>
      <c r="H218" s="111">
        <v>45002</v>
      </c>
      <c r="I218" s="111">
        <v>45368</v>
      </c>
      <c r="J218" s="113" t="s">
        <v>27</v>
      </c>
      <c r="K218" s="114" t="s">
        <v>1047</v>
      </c>
      <c r="L218" s="115" t="s">
        <v>69</v>
      </c>
      <c r="M218" s="107" t="s">
        <v>40</v>
      </c>
    </row>
    <row r="219" spans="1:13" s="116" customFormat="1" ht="81" customHeight="1">
      <c r="A219" s="105" t="str">
        <f t="shared" si="4"/>
        <v>23EB0082PERFORMANCE BOND</v>
      </c>
      <c r="B219" s="106">
        <v>200</v>
      </c>
      <c r="C219" s="119" t="s">
        <v>453</v>
      </c>
      <c r="D219" s="108" t="s">
        <v>1044</v>
      </c>
      <c r="E219" s="109" t="s">
        <v>1045</v>
      </c>
      <c r="F219" s="110">
        <v>2881183.78</v>
      </c>
      <c r="G219" s="111">
        <v>45002</v>
      </c>
      <c r="H219" s="111">
        <v>45002</v>
      </c>
      <c r="I219" s="111">
        <v>45368</v>
      </c>
      <c r="J219" s="113" t="s">
        <v>27</v>
      </c>
      <c r="K219" s="114" t="s">
        <v>1047</v>
      </c>
      <c r="L219" s="115" t="s">
        <v>69</v>
      </c>
      <c r="M219" s="107" t="s">
        <v>40</v>
      </c>
    </row>
    <row r="220" spans="1:13" s="53" customFormat="1" ht="32.25">
      <c r="A220" s="98"/>
      <c r="B220" s="51"/>
      <c r="C220" s="52" t="s">
        <v>46</v>
      </c>
      <c r="D220" s="51"/>
      <c r="E220" s="51"/>
      <c r="F220" s="51"/>
      <c r="G220" s="51"/>
      <c r="H220" s="92"/>
      <c r="I220" s="92"/>
      <c r="J220" s="86"/>
      <c r="K220" s="51"/>
      <c r="L220" s="51"/>
      <c r="M220" s="51"/>
    </row>
    <row r="221" spans="1:13" s="53" customFormat="1" ht="14.25">
      <c r="A221" s="98"/>
      <c r="B221" s="51"/>
      <c r="C221" s="51"/>
      <c r="D221" s="51"/>
      <c r="E221" s="51"/>
      <c r="F221" s="51"/>
      <c r="G221" s="51"/>
      <c r="H221" s="92"/>
      <c r="I221" s="92"/>
      <c r="J221" s="86"/>
      <c r="K221" s="51"/>
      <c r="L221" s="51"/>
      <c r="M221" s="51"/>
    </row>
    <row r="222" spans="1:13" s="53" customFormat="1" ht="34.5">
      <c r="A222" s="99"/>
      <c r="B222" s="51"/>
      <c r="C222" s="54"/>
      <c r="D222" s="54" t="s">
        <v>47</v>
      </c>
      <c r="E222" s="55"/>
      <c r="F222" s="51"/>
      <c r="G222" s="51"/>
      <c r="H222" s="92"/>
      <c r="I222" s="92"/>
      <c r="J222" s="86"/>
      <c r="K222" s="51"/>
      <c r="L222" s="51"/>
      <c r="M222" s="51"/>
    </row>
    <row r="223" spans="1:13" s="53" customFormat="1" ht="34.5">
      <c r="A223" s="100"/>
      <c r="B223" s="51"/>
      <c r="C223" s="56"/>
      <c r="D223" s="56" t="s">
        <v>48</v>
      </c>
      <c r="E223" s="55"/>
      <c r="F223" s="51"/>
      <c r="G223" s="51"/>
      <c r="H223" s="92"/>
      <c r="I223" s="92"/>
      <c r="J223" s="86"/>
      <c r="K223" s="51"/>
      <c r="L223" s="51"/>
      <c r="M223" s="51"/>
    </row>
    <row r="224" spans="1:13" customFormat="1">
      <c r="A224" s="101"/>
      <c r="H224" s="93"/>
      <c r="I224" s="93"/>
      <c r="J224" s="87"/>
    </row>
    <row r="225" spans="1:10" customFormat="1">
      <c r="A225" s="101"/>
      <c r="H225" s="93"/>
      <c r="I225" s="93"/>
      <c r="J225" s="87"/>
    </row>
    <row r="226" spans="1:10" customFormat="1">
      <c r="A226" s="101"/>
      <c r="H226" s="93"/>
      <c r="I226" s="93"/>
      <c r="J226" s="87"/>
    </row>
  </sheetData>
  <mergeCells count="16">
    <mergeCell ref="B10:M10"/>
    <mergeCell ref="AE10:AR10"/>
    <mergeCell ref="AE11:AR11"/>
    <mergeCell ref="B5:M5"/>
    <mergeCell ref="AE5:AR5"/>
    <mergeCell ref="B6:M6"/>
    <mergeCell ref="AE6:AR6"/>
    <mergeCell ref="AE7:AR7"/>
    <mergeCell ref="B9:M9"/>
    <mergeCell ref="B4:M4"/>
    <mergeCell ref="AE4:AR4"/>
    <mergeCell ref="B1:M1"/>
    <mergeCell ref="B2:M2"/>
    <mergeCell ref="AE2:AR2"/>
    <mergeCell ref="B3:M3"/>
    <mergeCell ref="AE3:AR3"/>
  </mergeCells>
  <pageMargins left="0.25" right="0.25" top="0.28000000000000003" bottom="0.22" header="0.3" footer="0.3"/>
  <pageSetup paperSize="14" scale="32" fitToHeight="0" orientation="landscape" r:id="rId1"/>
  <rowBreaks count="3" manualBreakCount="3">
    <brk id="24" min="1" max="12" man="1"/>
    <brk id="44" min="1" max="12" man="1"/>
    <brk id="199" min="1" max="14"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AR287"/>
  <sheetViews>
    <sheetView view="pageBreakPreview" zoomScale="70" zoomScaleNormal="100" zoomScaleSheetLayoutView="70" workbookViewId="0">
      <selection activeCell="E15" sqref="E15"/>
    </sheetView>
  </sheetViews>
  <sheetFormatPr defaultRowHeight="15"/>
  <cols>
    <col min="1" max="1" width="28" style="102" customWidth="1"/>
    <col min="2" max="2" width="9.140625" style="28"/>
    <col min="3" max="3" width="36.140625" style="28" customWidth="1"/>
    <col min="4" max="4" width="22" style="28" customWidth="1"/>
    <col min="5" max="5" width="105" style="28" customWidth="1"/>
    <col min="6" max="6" width="63" style="28" customWidth="1"/>
    <col min="7" max="7" width="31.7109375" style="29" customWidth="1"/>
    <col min="8" max="8" width="39.7109375" style="93" customWidth="1"/>
    <col min="9" max="9" width="54.140625" style="93" customWidth="1"/>
    <col min="10" max="10" width="18.42578125" style="87" customWidth="1"/>
    <col min="11" max="11" width="36.7109375" style="28" customWidth="1"/>
    <col min="12" max="12" width="39.85546875" style="28" customWidth="1"/>
    <col min="13" max="14" width="29.5703125" style="28" customWidth="1"/>
    <col min="15" max="16384" width="9.140625" style="28"/>
  </cols>
  <sheetData>
    <row r="1" spans="1:44" s="18" customFormat="1" ht="32.25">
      <c r="A1" s="94"/>
      <c r="B1" s="226" t="s">
        <v>6</v>
      </c>
      <c r="C1" s="226"/>
      <c r="D1" s="226"/>
      <c r="E1" s="226"/>
      <c r="F1" s="226"/>
      <c r="G1" s="226"/>
      <c r="H1" s="226"/>
      <c r="I1" s="226"/>
      <c r="J1" s="226"/>
      <c r="K1" s="226"/>
      <c r="L1" s="226"/>
      <c r="M1" s="226"/>
    </row>
    <row r="2" spans="1:44" s="18" customFormat="1" ht="32.25">
      <c r="A2" s="94"/>
      <c r="B2" s="226" t="s">
        <v>5</v>
      </c>
      <c r="C2" s="226"/>
      <c r="D2" s="226"/>
      <c r="E2" s="226"/>
      <c r="F2" s="226"/>
      <c r="G2" s="226"/>
      <c r="H2" s="226"/>
      <c r="I2" s="226"/>
      <c r="J2" s="226"/>
      <c r="K2" s="226"/>
      <c r="L2" s="226"/>
      <c r="M2" s="226"/>
      <c r="N2" s="19"/>
      <c r="O2" s="19"/>
      <c r="P2" s="19"/>
      <c r="Q2" s="19"/>
      <c r="R2" s="19"/>
      <c r="S2" s="19"/>
      <c r="T2" s="19"/>
      <c r="AE2" s="226"/>
      <c r="AF2" s="226"/>
      <c r="AG2" s="226"/>
      <c r="AH2" s="226"/>
      <c r="AI2" s="226"/>
      <c r="AJ2" s="226"/>
      <c r="AK2" s="226"/>
      <c r="AL2" s="226"/>
      <c r="AM2" s="226"/>
      <c r="AN2" s="226"/>
      <c r="AO2" s="226"/>
      <c r="AP2" s="226"/>
      <c r="AQ2" s="226"/>
      <c r="AR2" s="226"/>
    </row>
    <row r="3" spans="1:44" s="18" customFormat="1" ht="32.25">
      <c r="A3" s="94"/>
      <c r="B3" s="225" t="s">
        <v>4</v>
      </c>
      <c r="C3" s="225"/>
      <c r="D3" s="225"/>
      <c r="E3" s="225"/>
      <c r="F3" s="225"/>
      <c r="G3" s="225"/>
      <c r="H3" s="225"/>
      <c r="I3" s="225"/>
      <c r="J3" s="225"/>
      <c r="K3" s="225"/>
      <c r="L3" s="225"/>
      <c r="M3" s="225"/>
      <c r="N3" s="19"/>
      <c r="O3" s="19"/>
      <c r="P3" s="19"/>
      <c r="Q3" s="19"/>
      <c r="R3" s="19"/>
      <c r="S3" s="19"/>
      <c r="T3" s="19"/>
      <c r="AE3" s="226"/>
      <c r="AF3" s="226"/>
      <c r="AG3" s="226"/>
      <c r="AH3" s="226"/>
      <c r="AI3" s="226"/>
      <c r="AJ3" s="226"/>
      <c r="AK3" s="226"/>
      <c r="AL3" s="226"/>
      <c r="AM3" s="226"/>
      <c r="AN3" s="226"/>
      <c r="AO3" s="226"/>
      <c r="AP3" s="226"/>
      <c r="AQ3" s="226"/>
      <c r="AR3" s="226"/>
    </row>
    <row r="4" spans="1:44" s="18" customFormat="1" ht="32.25">
      <c r="A4" s="94"/>
      <c r="B4" s="225" t="s">
        <v>3</v>
      </c>
      <c r="C4" s="225"/>
      <c r="D4" s="225"/>
      <c r="E4" s="225"/>
      <c r="F4" s="225"/>
      <c r="G4" s="225"/>
      <c r="H4" s="225"/>
      <c r="I4" s="225"/>
      <c r="J4" s="225"/>
      <c r="K4" s="225"/>
      <c r="L4" s="225"/>
      <c r="M4" s="225"/>
      <c r="N4" s="20"/>
      <c r="O4" s="20"/>
      <c r="P4" s="20"/>
      <c r="Q4" s="20"/>
      <c r="R4" s="20"/>
      <c r="S4" s="20"/>
      <c r="T4" s="20"/>
      <c r="AE4" s="225"/>
      <c r="AF4" s="225"/>
      <c r="AG4" s="225"/>
      <c r="AH4" s="225"/>
      <c r="AI4" s="225"/>
      <c r="AJ4" s="225"/>
      <c r="AK4" s="225"/>
      <c r="AL4" s="225"/>
      <c r="AM4" s="225"/>
      <c r="AN4" s="225"/>
      <c r="AO4" s="225"/>
      <c r="AP4" s="225"/>
      <c r="AQ4" s="225"/>
      <c r="AR4" s="225"/>
    </row>
    <row r="5" spans="1:44" s="18" customFormat="1" ht="32.25">
      <c r="A5" s="94"/>
      <c r="B5" s="226" t="s">
        <v>2</v>
      </c>
      <c r="C5" s="226"/>
      <c r="D5" s="226"/>
      <c r="E5" s="226"/>
      <c r="F5" s="226"/>
      <c r="G5" s="226"/>
      <c r="H5" s="226"/>
      <c r="I5" s="226"/>
      <c r="J5" s="226"/>
      <c r="K5" s="226"/>
      <c r="L5" s="226"/>
      <c r="M5" s="226"/>
      <c r="N5" s="20"/>
      <c r="O5" s="20"/>
      <c r="P5" s="20"/>
      <c r="Q5" s="20"/>
      <c r="R5" s="20"/>
      <c r="S5" s="20"/>
      <c r="T5" s="20"/>
      <c r="AE5" s="225"/>
      <c r="AF5" s="225"/>
      <c r="AG5" s="225"/>
      <c r="AH5" s="225"/>
      <c r="AI5" s="225"/>
      <c r="AJ5" s="225"/>
      <c r="AK5" s="225"/>
      <c r="AL5" s="225"/>
      <c r="AM5" s="225"/>
      <c r="AN5" s="225"/>
      <c r="AO5" s="225"/>
      <c r="AP5" s="225"/>
      <c r="AQ5" s="225"/>
      <c r="AR5" s="225"/>
    </row>
    <row r="6" spans="1:44" s="18" customFormat="1" ht="32.25">
      <c r="A6" s="94"/>
      <c r="B6" s="226" t="s">
        <v>1</v>
      </c>
      <c r="C6" s="226"/>
      <c r="D6" s="226"/>
      <c r="E6" s="226"/>
      <c r="F6" s="226"/>
      <c r="G6" s="226"/>
      <c r="H6" s="226"/>
      <c r="I6" s="226"/>
      <c r="J6" s="226"/>
      <c r="K6" s="226"/>
      <c r="L6" s="226"/>
      <c r="M6" s="226"/>
      <c r="N6" s="20"/>
      <c r="O6" s="20"/>
      <c r="P6" s="20"/>
      <c r="Q6" s="20"/>
      <c r="R6" s="20"/>
      <c r="S6" s="20"/>
      <c r="T6" s="20"/>
      <c r="AE6" s="226"/>
      <c r="AF6" s="226"/>
      <c r="AG6" s="226"/>
      <c r="AH6" s="226"/>
      <c r="AI6" s="226"/>
      <c r="AJ6" s="226"/>
      <c r="AK6" s="226"/>
      <c r="AL6" s="226"/>
      <c r="AM6" s="226"/>
      <c r="AN6" s="226"/>
      <c r="AO6" s="226"/>
      <c r="AP6" s="226"/>
      <c r="AQ6" s="226"/>
      <c r="AR6" s="226"/>
    </row>
    <row r="7" spans="1:44" s="18" customFormat="1" ht="32.25">
      <c r="A7" s="94"/>
      <c r="B7" s="21"/>
      <c r="C7" s="169"/>
      <c r="D7" s="21"/>
      <c r="E7" s="169"/>
      <c r="F7" s="169"/>
      <c r="G7" s="169"/>
      <c r="H7" s="88"/>
      <c r="I7" s="88"/>
      <c r="J7" s="80"/>
      <c r="K7" s="58"/>
      <c r="L7" s="58"/>
      <c r="M7" s="169"/>
      <c r="N7" s="20"/>
      <c r="O7" s="20"/>
      <c r="P7" s="20"/>
      <c r="Q7" s="20"/>
      <c r="R7" s="20"/>
      <c r="S7" s="20"/>
      <c r="T7" s="20"/>
      <c r="AE7" s="226"/>
      <c r="AF7" s="226"/>
      <c r="AG7" s="226"/>
      <c r="AH7" s="226"/>
      <c r="AI7" s="226"/>
      <c r="AJ7" s="226"/>
      <c r="AK7" s="226"/>
      <c r="AL7" s="226"/>
      <c r="AM7" s="226"/>
      <c r="AN7" s="226"/>
      <c r="AO7" s="226"/>
      <c r="AP7" s="226"/>
      <c r="AQ7" s="226"/>
      <c r="AR7" s="226"/>
    </row>
    <row r="8" spans="1:44" s="18" customFormat="1" ht="32.25">
      <c r="A8" s="94"/>
      <c r="B8" s="21"/>
      <c r="C8" s="169"/>
      <c r="D8" s="21"/>
      <c r="E8" s="169"/>
      <c r="F8" s="169"/>
      <c r="G8" s="169"/>
      <c r="H8" s="88"/>
      <c r="I8" s="88"/>
      <c r="J8" s="80"/>
      <c r="K8" s="58"/>
      <c r="L8" s="58"/>
      <c r="M8" s="169"/>
      <c r="N8" s="23"/>
      <c r="O8" s="23"/>
      <c r="P8" s="23"/>
      <c r="Q8" s="23"/>
      <c r="R8" s="23"/>
      <c r="S8" s="23"/>
      <c r="T8" s="23"/>
      <c r="AE8" s="21"/>
      <c r="AF8" s="169"/>
      <c r="AG8" s="21"/>
      <c r="AH8" s="169"/>
      <c r="AI8" s="169"/>
      <c r="AJ8" s="169"/>
      <c r="AK8" s="169"/>
      <c r="AL8" s="169"/>
      <c r="AM8" s="58"/>
      <c r="AN8" s="58"/>
      <c r="AO8" s="58"/>
      <c r="AP8" s="169"/>
      <c r="AQ8" s="169"/>
      <c r="AR8" s="169"/>
    </row>
    <row r="9" spans="1:44" s="25" customFormat="1" ht="32.25">
      <c r="A9" s="94"/>
      <c r="B9" s="225" t="s">
        <v>13</v>
      </c>
      <c r="C9" s="225"/>
      <c r="D9" s="225"/>
      <c r="E9" s="225"/>
      <c r="F9" s="225"/>
      <c r="G9" s="225"/>
      <c r="H9" s="225"/>
      <c r="I9" s="225"/>
      <c r="J9" s="225"/>
      <c r="K9" s="225"/>
      <c r="L9" s="225"/>
      <c r="M9" s="225"/>
      <c r="N9" s="24"/>
      <c r="O9" s="24"/>
      <c r="P9" s="24"/>
      <c r="Q9" s="24"/>
      <c r="R9" s="24"/>
      <c r="S9" s="24"/>
      <c r="T9" s="24"/>
      <c r="AE9" s="21"/>
      <c r="AF9" s="169"/>
      <c r="AG9" s="21"/>
      <c r="AH9" s="169"/>
      <c r="AI9" s="169"/>
      <c r="AJ9" s="169"/>
      <c r="AK9" s="169"/>
      <c r="AL9" s="169"/>
      <c r="AM9" s="58"/>
      <c r="AN9" s="58"/>
      <c r="AO9" s="58"/>
      <c r="AP9" s="169"/>
      <c r="AQ9" s="169"/>
      <c r="AR9" s="169"/>
    </row>
    <row r="10" spans="1:44" s="25" customFormat="1" ht="32.25">
      <c r="A10" s="94"/>
      <c r="B10" s="225" t="s">
        <v>14</v>
      </c>
      <c r="C10" s="225"/>
      <c r="D10" s="225"/>
      <c r="E10" s="225"/>
      <c r="F10" s="225"/>
      <c r="G10" s="225"/>
      <c r="H10" s="225"/>
      <c r="I10" s="225"/>
      <c r="J10" s="225"/>
      <c r="K10" s="225"/>
      <c r="L10" s="225"/>
      <c r="M10" s="225"/>
      <c r="N10" s="24"/>
      <c r="O10" s="24"/>
      <c r="P10" s="24"/>
      <c r="Q10" s="24"/>
      <c r="R10" s="24"/>
      <c r="S10" s="24"/>
      <c r="T10" s="24"/>
      <c r="AE10" s="225"/>
      <c r="AF10" s="225"/>
      <c r="AG10" s="225"/>
      <c r="AH10" s="225"/>
      <c r="AI10" s="225"/>
      <c r="AJ10" s="225"/>
      <c r="AK10" s="225"/>
      <c r="AL10" s="225"/>
      <c r="AM10" s="225"/>
      <c r="AN10" s="225"/>
      <c r="AO10" s="225"/>
      <c r="AP10" s="225"/>
      <c r="AQ10" s="225"/>
      <c r="AR10" s="225"/>
    </row>
    <row r="11" spans="1:44" s="18" customFormat="1" ht="14.25" customHeight="1">
      <c r="A11" s="94"/>
      <c r="B11" s="60"/>
      <c r="C11" s="60"/>
      <c r="D11" s="60"/>
      <c r="E11" s="60"/>
      <c r="F11" s="60"/>
      <c r="G11" s="60"/>
      <c r="H11" s="89"/>
      <c r="I11" s="89"/>
      <c r="J11" s="81"/>
      <c r="K11" s="60"/>
      <c r="L11" s="60"/>
      <c r="M11" s="60"/>
      <c r="N11" s="19"/>
      <c r="O11" s="19"/>
      <c r="P11" s="19"/>
      <c r="Q11" s="19"/>
      <c r="R11" s="19"/>
      <c r="S11" s="19"/>
      <c r="T11" s="19"/>
      <c r="AE11" s="225"/>
      <c r="AF11" s="225"/>
      <c r="AG11" s="225"/>
      <c r="AH11" s="225"/>
      <c r="AI11" s="225"/>
      <c r="AJ11" s="225"/>
      <c r="AK11" s="225"/>
      <c r="AL11" s="225"/>
      <c r="AM11" s="225"/>
      <c r="AN11" s="225"/>
      <c r="AO11" s="225"/>
      <c r="AP11" s="225"/>
      <c r="AQ11" s="225"/>
      <c r="AR11" s="225"/>
    </row>
    <row r="12" spans="1:44" ht="15.75" customHeight="1" thickBot="1">
      <c r="A12" s="94"/>
      <c r="B12" s="60"/>
      <c r="C12" s="60"/>
      <c r="D12" s="60"/>
      <c r="E12" s="60"/>
      <c r="F12" s="60"/>
      <c r="G12" s="60"/>
      <c r="H12" s="89"/>
      <c r="I12" s="89"/>
      <c r="J12" s="81"/>
      <c r="K12" s="60"/>
      <c r="L12" s="60"/>
      <c r="M12" s="60"/>
      <c r="AE12" s="26"/>
      <c r="AF12" s="27"/>
      <c r="AG12" s="26"/>
      <c r="AH12" s="27"/>
      <c r="AI12" s="27"/>
      <c r="AJ12" s="27"/>
      <c r="AK12" s="27"/>
      <c r="AL12" s="27"/>
      <c r="AM12" s="59"/>
      <c r="AN12" s="59"/>
      <c r="AO12" s="59"/>
      <c r="AP12" s="27"/>
      <c r="AQ12" s="27"/>
      <c r="AR12" s="27"/>
    </row>
    <row r="13" spans="1:44" s="34" customFormat="1" ht="87" customHeight="1" thickBot="1">
      <c r="A13" s="95"/>
      <c r="B13" s="61" t="s">
        <v>15</v>
      </c>
      <c r="C13" s="30" t="s">
        <v>16</v>
      </c>
      <c r="D13" s="31" t="s">
        <v>17</v>
      </c>
      <c r="E13" s="31" t="s">
        <v>18</v>
      </c>
      <c r="F13" s="32" t="s">
        <v>19</v>
      </c>
      <c r="G13" s="30" t="s">
        <v>20</v>
      </c>
      <c r="H13" s="90" t="s">
        <v>21</v>
      </c>
      <c r="I13" s="91" t="s">
        <v>22</v>
      </c>
      <c r="J13" s="82" t="s">
        <v>23</v>
      </c>
      <c r="K13" s="31" t="s">
        <v>24</v>
      </c>
      <c r="L13" s="31" t="s">
        <v>25</v>
      </c>
      <c r="M13" s="33" t="s">
        <v>26</v>
      </c>
      <c r="AE13" s="28"/>
      <c r="AF13" s="28"/>
      <c r="AG13" s="28"/>
      <c r="AH13" s="28"/>
      <c r="AI13" s="28"/>
      <c r="AJ13" s="28"/>
      <c r="AK13" s="28"/>
      <c r="AL13" s="29"/>
      <c r="AM13" s="57"/>
      <c r="AN13" s="57"/>
      <c r="AO13" s="57"/>
      <c r="AP13" s="28"/>
      <c r="AQ13" s="28"/>
      <c r="AR13" s="28"/>
    </row>
    <row r="14" spans="1:44" ht="102" customHeight="1">
      <c r="A14" s="96" t="str">
        <f t="shared" ref="A14:A43" si="0">D14&amp;M14</f>
        <v>23EB0017-R1CONTRACTOR'S ALL RISK POLICY</v>
      </c>
      <c r="B14" s="136">
        <v>1</v>
      </c>
      <c r="C14" s="42" t="s">
        <v>560</v>
      </c>
      <c r="D14" s="36" t="s">
        <v>1048</v>
      </c>
      <c r="E14" s="37" t="s">
        <v>1049</v>
      </c>
      <c r="F14" s="38">
        <v>9506005.0700000003</v>
      </c>
      <c r="G14" s="39">
        <v>44995</v>
      </c>
      <c r="H14" s="39">
        <v>44995</v>
      </c>
      <c r="I14" s="39">
        <v>45361</v>
      </c>
      <c r="J14" s="83" t="s">
        <v>30</v>
      </c>
      <c r="K14" s="40" t="s">
        <v>1050</v>
      </c>
      <c r="L14" s="41" t="s">
        <v>69</v>
      </c>
      <c r="M14" s="35" t="s">
        <v>31</v>
      </c>
    </row>
    <row r="15" spans="1:44" ht="102" customHeight="1">
      <c r="A15" s="96" t="str">
        <f t="shared" si="0"/>
        <v>23EB0017-R1PERFORMANCE BOND</v>
      </c>
      <c r="B15" s="136">
        <v>1</v>
      </c>
      <c r="C15" s="42" t="s">
        <v>560</v>
      </c>
      <c r="D15" s="36" t="s">
        <v>1048</v>
      </c>
      <c r="E15" s="37" t="s">
        <v>1049</v>
      </c>
      <c r="F15" s="38">
        <v>2851801.52</v>
      </c>
      <c r="G15" s="39">
        <v>44995</v>
      </c>
      <c r="H15" s="39">
        <v>44995</v>
      </c>
      <c r="I15" s="39">
        <v>45726</v>
      </c>
      <c r="J15" s="83" t="s">
        <v>27</v>
      </c>
      <c r="K15" s="40" t="s">
        <v>1051</v>
      </c>
      <c r="L15" s="41" t="s">
        <v>69</v>
      </c>
      <c r="M15" s="35" t="s">
        <v>40</v>
      </c>
    </row>
    <row r="16" spans="1:44" ht="102" customHeight="1">
      <c r="A16" s="96" t="str">
        <f t="shared" si="0"/>
        <v>22EB0032CONTRACTOR'S ALL RISK POLICY</v>
      </c>
      <c r="B16" s="136">
        <v>3</v>
      </c>
      <c r="C16" s="42" t="s">
        <v>36</v>
      </c>
      <c r="D16" s="36" t="s">
        <v>122</v>
      </c>
      <c r="E16" s="37" t="s">
        <v>1052</v>
      </c>
      <c r="F16" s="38">
        <v>43768024.75</v>
      </c>
      <c r="G16" s="39">
        <v>44988</v>
      </c>
      <c r="H16" s="39">
        <v>44988</v>
      </c>
      <c r="I16" s="39">
        <v>45354</v>
      </c>
      <c r="J16" s="83" t="s">
        <v>30</v>
      </c>
      <c r="K16" s="156" t="s">
        <v>1053</v>
      </c>
      <c r="L16" s="41" t="s">
        <v>28</v>
      </c>
      <c r="M16" s="35" t="s">
        <v>31</v>
      </c>
    </row>
    <row r="17" spans="1:13" ht="102" customHeight="1">
      <c r="A17" s="96" t="str">
        <f t="shared" si="0"/>
        <v>22EB0032PERFORMANCE BOND</v>
      </c>
      <c r="B17" s="136">
        <v>3</v>
      </c>
      <c r="C17" s="42" t="s">
        <v>36</v>
      </c>
      <c r="D17" s="36" t="s">
        <v>122</v>
      </c>
      <c r="E17" s="37" t="s">
        <v>1052</v>
      </c>
      <c r="F17" s="38">
        <v>13130407.43</v>
      </c>
      <c r="G17" s="39">
        <v>44988</v>
      </c>
      <c r="H17" s="39">
        <v>44988</v>
      </c>
      <c r="I17" s="39">
        <v>45719</v>
      </c>
      <c r="J17" s="83" t="s">
        <v>27</v>
      </c>
      <c r="K17" s="40" t="s">
        <v>1054</v>
      </c>
      <c r="L17" s="41" t="s">
        <v>28</v>
      </c>
      <c r="M17" s="35" t="s">
        <v>40</v>
      </c>
    </row>
    <row r="18" spans="1:13" ht="102" customHeight="1">
      <c r="A18" s="96" t="str">
        <f t="shared" si="0"/>
        <v>23EB0017-R1ADVANCE PAYMENT BOND</v>
      </c>
      <c r="B18" s="136">
        <v>1</v>
      </c>
      <c r="C18" s="42" t="s">
        <v>560</v>
      </c>
      <c r="D18" s="36" t="s">
        <v>1048</v>
      </c>
      <c r="E18" s="37" t="s">
        <v>1049</v>
      </c>
      <c r="F18" s="38">
        <v>1425900.76</v>
      </c>
      <c r="G18" s="39">
        <v>45002</v>
      </c>
      <c r="H18" s="39">
        <v>45002</v>
      </c>
      <c r="I18" s="39">
        <v>45368</v>
      </c>
      <c r="J18" s="83" t="s">
        <v>30</v>
      </c>
      <c r="K18" s="40" t="s">
        <v>1055</v>
      </c>
      <c r="L18" s="41" t="s">
        <v>69</v>
      </c>
      <c r="M18" s="35" t="s">
        <v>34</v>
      </c>
    </row>
    <row r="19" spans="1:13" ht="102" customHeight="1">
      <c r="A19" s="96" t="str">
        <f t="shared" si="0"/>
        <v>23EB0025ADVANCE PAYMENT BOND</v>
      </c>
      <c r="B19" s="136">
        <v>166</v>
      </c>
      <c r="C19" s="42" t="s">
        <v>735</v>
      </c>
      <c r="D19" s="36" t="s">
        <v>982</v>
      </c>
      <c r="E19" s="37" t="s">
        <v>983</v>
      </c>
      <c r="F19" s="38">
        <v>7243333.5</v>
      </c>
      <c r="G19" s="39">
        <v>44995</v>
      </c>
      <c r="H19" s="39">
        <v>44995</v>
      </c>
      <c r="I19" s="39">
        <v>45361</v>
      </c>
      <c r="J19" s="83" t="s">
        <v>30</v>
      </c>
      <c r="K19" s="40" t="s">
        <v>1056</v>
      </c>
      <c r="L19" s="41" t="s">
        <v>69</v>
      </c>
      <c r="M19" s="35" t="s">
        <v>34</v>
      </c>
    </row>
    <row r="20" spans="1:13" ht="79.5" customHeight="1">
      <c r="A20" s="96" t="str">
        <f t="shared" si="0"/>
        <v>23EB0070-R1ADVANCE PAYMENT BOND</v>
      </c>
      <c r="B20" s="136">
        <v>196</v>
      </c>
      <c r="C20" s="42" t="s">
        <v>44</v>
      </c>
      <c r="D20" s="36" t="s">
        <v>1040</v>
      </c>
      <c r="E20" s="37" t="s">
        <v>1041</v>
      </c>
      <c r="F20" s="38">
        <v>723958.17</v>
      </c>
      <c r="G20" s="39">
        <v>45009</v>
      </c>
      <c r="H20" s="39">
        <v>45009</v>
      </c>
      <c r="I20" s="39">
        <v>45375</v>
      </c>
      <c r="J20" s="83" t="s">
        <v>30</v>
      </c>
      <c r="K20" s="40" t="s">
        <v>1057</v>
      </c>
      <c r="L20" s="41" t="s">
        <v>69</v>
      </c>
      <c r="M20" s="35" t="s">
        <v>34</v>
      </c>
    </row>
    <row r="21" spans="1:13" ht="102" customHeight="1">
      <c r="A21" s="96" t="str">
        <f t="shared" si="0"/>
        <v>22EB0032ADVANCE PAYMENT BOND</v>
      </c>
      <c r="B21" s="136">
        <v>3</v>
      </c>
      <c r="C21" s="42" t="s">
        <v>36</v>
      </c>
      <c r="D21" s="36" t="s">
        <v>122</v>
      </c>
      <c r="E21" s="37" t="s">
        <v>1052</v>
      </c>
      <c r="F21" s="38">
        <v>6565203.71</v>
      </c>
      <c r="G21" s="39">
        <v>45001</v>
      </c>
      <c r="H21" s="39">
        <v>45001</v>
      </c>
      <c r="I21" s="39">
        <v>45367</v>
      </c>
      <c r="J21" s="83" t="s">
        <v>30</v>
      </c>
      <c r="K21" s="40" t="s">
        <v>1058</v>
      </c>
      <c r="L21" s="41" t="s">
        <v>32</v>
      </c>
      <c r="M21" s="35" t="s">
        <v>34</v>
      </c>
    </row>
    <row r="22" spans="1:13" ht="79.5" customHeight="1">
      <c r="A22" s="96" t="str">
        <f t="shared" si="0"/>
        <v>23EB0054-R2ADVANCE PAYMENT BOND</v>
      </c>
      <c r="B22" s="136">
        <v>192</v>
      </c>
      <c r="C22" s="42" t="s">
        <v>38</v>
      </c>
      <c r="D22" s="36" t="s">
        <v>1032</v>
      </c>
      <c r="E22" s="37" t="s">
        <v>1033</v>
      </c>
      <c r="F22" s="38">
        <v>726966</v>
      </c>
      <c r="G22" s="39">
        <v>45005</v>
      </c>
      <c r="H22" s="39">
        <v>45005</v>
      </c>
      <c r="I22" s="39">
        <v>45371</v>
      </c>
      <c r="J22" s="83" t="s">
        <v>30</v>
      </c>
      <c r="K22" s="40" t="s">
        <v>1061</v>
      </c>
      <c r="L22" s="41" t="s">
        <v>35</v>
      </c>
      <c r="M22" s="35" t="s">
        <v>34</v>
      </c>
    </row>
    <row r="23" spans="1:13" ht="135.75" customHeight="1">
      <c r="A23" s="96" t="str">
        <f t="shared" si="0"/>
        <v>23EB0029ADVANCE PAYMENT BOND</v>
      </c>
      <c r="B23" s="136">
        <v>190</v>
      </c>
      <c r="C23" s="42" t="s">
        <v>1027</v>
      </c>
      <c r="D23" s="36" t="s">
        <v>1028</v>
      </c>
      <c r="E23" s="37" t="s">
        <v>1029</v>
      </c>
      <c r="F23" s="38">
        <v>6593770.5</v>
      </c>
      <c r="G23" s="39">
        <v>45001</v>
      </c>
      <c r="H23" s="39">
        <v>45001</v>
      </c>
      <c r="I23" s="39">
        <v>45367</v>
      </c>
      <c r="J23" s="83" t="s">
        <v>30</v>
      </c>
      <c r="K23" s="40" t="s">
        <v>1060</v>
      </c>
      <c r="L23" s="41" t="s">
        <v>35</v>
      </c>
      <c r="M23" s="35" t="s">
        <v>34</v>
      </c>
    </row>
    <row r="24" spans="1:13" ht="79.5" customHeight="1">
      <c r="A24" s="96" t="str">
        <f t="shared" si="0"/>
        <v>23EB0055ADVANCE PAYMENT BOND</v>
      </c>
      <c r="B24" s="136">
        <v>194</v>
      </c>
      <c r="C24" s="42" t="s">
        <v>44</v>
      </c>
      <c r="D24" s="36" t="s">
        <v>1036</v>
      </c>
      <c r="E24" s="37" t="s">
        <v>1037</v>
      </c>
      <c r="F24" s="38">
        <v>1019713</v>
      </c>
      <c r="G24" s="39">
        <v>45005</v>
      </c>
      <c r="H24" s="39">
        <v>45005</v>
      </c>
      <c r="I24" s="39">
        <v>45371</v>
      </c>
      <c r="J24" s="83" t="s">
        <v>30</v>
      </c>
      <c r="K24" s="40" t="s">
        <v>1059</v>
      </c>
      <c r="L24" s="41" t="s">
        <v>35</v>
      </c>
      <c r="M24" s="35" t="s">
        <v>34</v>
      </c>
    </row>
    <row r="25" spans="1:13" ht="135.75" customHeight="1">
      <c r="A25" s="96" t="str">
        <f t="shared" si="0"/>
        <v>23EB0034ADVANCE PAYMENT BOND</v>
      </c>
      <c r="B25" s="136">
        <v>188</v>
      </c>
      <c r="C25" s="42" t="s">
        <v>67</v>
      </c>
      <c r="D25" s="36" t="s">
        <v>1023</v>
      </c>
      <c r="E25" s="37" t="s">
        <v>1024</v>
      </c>
      <c r="F25" s="38">
        <v>6428021</v>
      </c>
      <c r="G25" s="39">
        <v>45001</v>
      </c>
      <c r="H25" s="39">
        <v>45001</v>
      </c>
      <c r="I25" s="39">
        <v>45367</v>
      </c>
      <c r="J25" s="83" t="s">
        <v>30</v>
      </c>
      <c r="K25" s="40" t="s">
        <v>1062</v>
      </c>
      <c r="L25" s="41" t="s">
        <v>35</v>
      </c>
      <c r="M25" s="35" t="s">
        <v>34</v>
      </c>
    </row>
    <row r="26" spans="1:13" s="43" customFormat="1" ht="102" customHeight="1">
      <c r="A26" s="96" t="str">
        <f t="shared" si="0"/>
        <v>23EB0006PERFORMANCE BOND</v>
      </c>
      <c r="B26" s="136">
        <v>13</v>
      </c>
      <c r="C26" s="42" t="s">
        <v>58</v>
      </c>
      <c r="D26" s="36" t="s">
        <v>1063</v>
      </c>
      <c r="E26" s="37" t="s">
        <v>1064</v>
      </c>
      <c r="F26" s="38">
        <v>1107074.1499999999</v>
      </c>
      <c r="G26" s="39">
        <v>45019</v>
      </c>
      <c r="H26" s="39">
        <v>45019</v>
      </c>
      <c r="I26" s="39">
        <v>45750</v>
      </c>
      <c r="J26" s="83" t="s">
        <v>27</v>
      </c>
      <c r="K26" s="40" t="s">
        <v>1065</v>
      </c>
      <c r="L26" s="41" t="s">
        <v>35</v>
      </c>
      <c r="M26" s="35" t="s">
        <v>40</v>
      </c>
    </row>
    <row r="27" spans="1:13" s="43" customFormat="1" ht="102" customHeight="1">
      <c r="A27" s="96" t="str">
        <f t="shared" si="0"/>
        <v>23EB0006ADVANCE PAYMENT BOND</v>
      </c>
      <c r="B27" s="136">
        <v>13</v>
      </c>
      <c r="C27" s="42" t="s">
        <v>58</v>
      </c>
      <c r="D27" s="36" t="s">
        <v>1063</v>
      </c>
      <c r="E27" s="37" t="s">
        <v>1064</v>
      </c>
      <c r="F27" s="38">
        <v>508537.07</v>
      </c>
      <c r="G27" s="39">
        <v>45030</v>
      </c>
      <c r="H27" s="39">
        <v>45030</v>
      </c>
      <c r="I27" s="39">
        <v>45396</v>
      </c>
      <c r="J27" s="83" t="s">
        <v>30</v>
      </c>
      <c r="K27" s="40" t="s">
        <v>1066</v>
      </c>
      <c r="L27" s="41" t="s">
        <v>35</v>
      </c>
      <c r="M27" s="35" t="s">
        <v>34</v>
      </c>
    </row>
    <row r="28" spans="1:13" s="43" customFormat="1" ht="102" customHeight="1">
      <c r="A28" s="96" t="str">
        <f t="shared" si="0"/>
        <v>23EB0006CONTRACTOR'S ALL RISK POLICY</v>
      </c>
      <c r="B28" s="136">
        <v>13</v>
      </c>
      <c r="C28" s="42" t="s">
        <v>58</v>
      </c>
      <c r="D28" s="36" t="s">
        <v>1063</v>
      </c>
      <c r="E28" s="37" t="s">
        <v>1064</v>
      </c>
      <c r="F28" s="38">
        <v>3390274.15</v>
      </c>
      <c r="G28" s="39">
        <v>45019</v>
      </c>
      <c r="H28" s="39">
        <v>45019</v>
      </c>
      <c r="I28" s="39">
        <v>45385</v>
      </c>
      <c r="J28" s="83" t="s">
        <v>30</v>
      </c>
      <c r="K28" s="40" t="s">
        <v>1067</v>
      </c>
      <c r="L28" s="41" t="s">
        <v>35</v>
      </c>
      <c r="M28" s="35" t="s">
        <v>31</v>
      </c>
    </row>
    <row r="29" spans="1:13" s="43" customFormat="1" ht="102" customHeight="1">
      <c r="A29" s="96" t="str">
        <f t="shared" si="0"/>
        <v>23EB0009ADVANCE PAYMENT BOND</v>
      </c>
      <c r="B29" s="136">
        <v>13</v>
      </c>
      <c r="C29" s="42" t="s">
        <v>58</v>
      </c>
      <c r="D29" s="36" t="s">
        <v>1068</v>
      </c>
      <c r="E29" s="37" t="s">
        <v>1069</v>
      </c>
      <c r="F29" s="38">
        <v>1957104.42</v>
      </c>
      <c r="G29" s="39">
        <v>45030</v>
      </c>
      <c r="H29" s="39">
        <v>45030</v>
      </c>
      <c r="I29" s="39">
        <v>45396</v>
      </c>
      <c r="J29" s="83" t="s">
        <v>30</v>
      </c>
      <c r="K29" s="40" t="s">
        <v>1070</v>
      </c>
      <c r="L29" s="41" t="s">
        <v>35</v>
      </c>
      <c r="M29" s="35" t="s">
        <v>34</v>
      </c>
    </row>
    <row r="30" spans="1:13" s="43" customFormat="1" ht="102" customHeight="1">
      <c r="A30" s="96" t="str">
        <f t="shared" si="0"/>
        <v>23EB0090ADVANCE PAYMENT BOND</v>
      </c>
      <c r="B30" s="136">
        <v>17</v>
      </c>
      <c r="C30" s="42" t="s">
        <v>807</v>
      </c>
      <c r="D30" s="36" t="s">
        <v>1071</v>
      </c>
      <c r="E30" s="37" t="s">
        <v>1072</v>
      </c>
      <c r="F30" s="38">
        <v>1755316.01</v>
      </c>
      <c r="G30" s="39">
        <v>45030</v>
      </c>
      <c r="H30" s="39">
        <v>45030</v>
      </c>
      <c r="I30" s="39">
        <v>45396</v>
      </c>
      <c r="J30" s="83" t="s">
        <v>30</v>
      </c>
      <c r="K30" s="40" t="s">
        <v>1073</v>
      </c>
      <c r="L30" s="41" t="s">
        <v>35</v>
      </c>
      <c r="M30" s="35" t="s">
        <v>34</v>
      </c>
    </row>
    <row r="31" spans="1:13" s="43" customFormat="1" ht="102" customHeight="1">
      <c r="A31" s="96" t="str">
        <f t="shared" si="0"/>
        <v>23EB0063ADVANCE PAYMENT BOND</v>
      </c>
      <c r="B31" s="136">
        <v>17</v>
      </c>
      <c r="C31" s="42" t="s">
        <v>807</v>
      </c>
      <c r="D31" s="36" t="s">
        <v>1074</v>
      </c>
      <c r="E31" s="37" t="s">
        <v>1075</v>
      </c>
      <c r="F31" s="38">
        <v>975358.07</v>
      </c>
      <c r="G31" s="39">
        <v>45030</v>
      </c>
      <c r="H31" s="39">
        <v>45030</v>
      </c>
      <c r="I31" s="39">
        <v>45396</v>
      </c>
      <c r="J31" s="83" t="s">
        <v>30</v>
      </c>
      <c r="K31" s="40" t="s">
        <v>1076</v>
      </c>
      <c r="L31" s="41" t="s">
        <v>35</v>
      </c>
      <c r="M31" s="35" t="s">
        <v>34</v>
      </c>
    </row>
    <row r="32" spans="1:13" s="43" customFormat="1" ht="102" customHeight="1">
      <c r="A32" s="96" t="str">
        <f t="shared" si="0"/>
        <v>23EB0089PERFORMANCE BOND</v>
      </c>
      <c r="B32" s="136">
        <v>19</v>
      </c>
      <c r="C32" s="42" t="s">
        <v>38</v>
      </c>
      <c r="D32" s="36" t="s">
        <v>1077</v>
      </c>
      <c r="E32" s="37" t="s">
        <v>1078</v>
      </c>
      <c r="F32" s="38">
        <v>6149686.5700000003</v>
      </c>
      <c r="G32" s="39">
        <v>45019</v>
      </c>
      <c r="H32" s="39">
        <v>45019</v>
      </c>
      <c r="I32" s="39">
        <v>45750</v>
      </c>
      <c r="J32" s="83" t="s">
        <v>27</v>
      </c>
      <c r="K32" s="40" t="s">
        <v>1079</v>
      </c>
      <c r="L32" s="41" t="s">
        <v>1080</v>
      </c>
      <c r="M32" s="35" t="s">
        <v>40</v>
      </c>
    </row>
    <row r="33" spans="1:13" s="43" customFormat="1" ht="102" customHeight="1">
      <c r="A33" s="96" t="str">
        <f t="shared" si="0"/>
        <v>23EB0089CONTRACTOR'S ALL RISK POLICY</v>
      </c>
      <c r="B33" s="136">
        <v>19</v>
      </c>
      <c r="C33" s="42" t="s">
        <v>38</v>
      </c>
      <c r="D33" s="36" t="s">
        <v>1077</v>
      </c>
      <c r="E33" s="37" t="s">
        <v>1078</v>
      </c>
      <c r="F33" s="38">
        <v>20498955.23</v>
      </c>
      <c r="G33" s="39">
        <v>45019</v>
      </c>
      <c r="H33" s="39">
        <v>45019</v>
      </c>
      <c r="I33" s="39">
        <v>45385</v>
      </c>
      <c r="J33" s="83" t="s">
        <v>30</v>
      </c>
      <c r="K33" s="40" t="s">
        <v>1081</v>
      </c>
      <c r="L33" s="41" t="s">
        <v>1080</v>
      </c>
      <c r="M33" s="35" t="s">
        <v>31</v>
      </c>
    </row>
    <row r="34" spans="1:13" s="43" customFormat="1" ht="102" customHeight="1">
      <c r="A34" s="96" t="str">
        <f t="shared" si="0"/>
        <v>23EB0089CONTRACTOR'S ALL RISK POLICY</v>
      </c>
      <c r="B34" s="136">
        <v>19</v>
      </c>
      <c r="C34" s="42" t="s">
        <v>38</v>
      </c>
      <c r="D34" s="36" t="s">
        <v>1077</v>
      </c>
      <c r="E34" s="37" t="s">
        <v>1078</v>
      </c>
      <c r="F34" s="38">
        <v>3074843.28</v>
      </c>
      <c r="G34" s="39">
        <v>45019</v>
      </c>
      <c r="H34" s="39">
        <v>45019</v>
      </c>
      <c r="I34" s="39">
        <v>45385</v>
      </c>
      <c r="J34" s="83" t="s">
        <v>30</v>
      </c>
      <c r="K34" s="40" t="s">
        <v>1081</v>
      </c>
      <c r="L34" s="41" t="s">
        <v>1080</v>
      </c>
      <c r="M34" s="35" t="s">
        <v>31</v>
      </c>
    </row>
    <row r="35" spans="1:13" s="43" customFormat="1" ht="102" customHeight="1">
      <c r="A35" s="96" t="str">
        <f t="shared" si="0"/>
        <v>23EB0090PERFORMANCE BOND</v>
      </c>
      <c r="B35" s="136">
        <v>17</v>
      </c>
      <c r="C35" s="42" t="s">
        <v>807</v>
      </c>
      <c r="D35" s="36" t="s">
        <v>1071</v>
      </c>
      <c r="E35" s="37" t="s">
        <v>1072</v>
      </c>
      <c r="F35" s="38">
        <v>3510632.03</v>
      </c>
      <c r="G35" s="39">
        <v>45019</v>
      </c>
      <c r="H35" s="39">
        <v>45019</v>
      </c>
      <c r="I35" s="39">
        <v>45750</v>
      </c>
      <c r="J35" s="83" t="s">
        <v>27</v>
      </c>
      <c r="K35" s="40" t="s">
        <v>1082</v>
      </c>
      <c r="L35" s="41" t="s">
        <v>35</v>
      </c>
      <c r="M35" s="35" t="s">
        <v>40</v>
      </c>
    </row>
    <row r="36" spans="1:13" s="43" customFormat="1" ht="102" customHeight="1">
      <c r="A36" s="96" t="str">
        <f t="shared" si="0"/>
        <v>23EB0090CONTRACTOR'S ALL RISK POLICY</v>
      </c>
      <c r="B36" s="136">
        <v>17</v>
      </c>
      <c r="C36" s="42" t="s">
        <v>807</v>
      </c>
      <c r="D36" s="36" t="s">
        <v>1071</v>
      </c>
      <c r="E36" s="37" t="s">
        <v>1072</v>
      </c>
      <c r="F36" s="38">
        <v>11702106.76</v>
      </c>
      <c r="G36" s="39">
        <v>45019</v>
      </c>
      <c r="H36" s="39">
        <v>45019</v>
      </c>
      <c r="I36" s="39">
        <v>45385</v>
      </c>
      <c r="J36" s="83" t="s">
        <v>30</v>
      </c>
      <c r="K36" s="40" t="s">
        <v>1083</v>
      </c>
      <c r="L36" s="41" t="s">
        <v>35</v>
      </c>
      <c r="M36" s="35" t="s">
        <v>31</v>
      </c>
    </row>
    <row r="37" spans="1:13" s="43" customFormat="1" ht="102" customHeight="1">
      <c r="A37" s="96" t="str">
        <f t="shared" si="0"/>
        <v>23EB0063PERFORMANCE BOND</v>
      </c>
      <c r="B37" s="136">
        <v>17</v>
      </c>
      <c r="C37" s="42" t="s">
        <v>807</v>
      </c>
      <c r="D37" s="36" t="s">
        <v>1074</v>
      </c>
      <c r="E37" s="37" t="s">
        <v>1075</v>
      </c>
      <c r="F37" s="38">
        <v>1950716.5</v>
      </c>
      <c r="G37" s="39">
        <v>45019</v>
      </c>
      <c r="H37" s="39">
        <v>45019</v>
      </c>
      <c r="I37" s="39">
        <v>45750</v>
      </c>
      <c r="J37" s="83" t="s">
        <v>27</v>
      </c>
      <c r="K37" s="40" t="s">
        <v>1084</v>
      </c>
      <c r="L37" s="41" t="s">
        <v>35</v>
      </c>
      <c r="M37" s="35" t="s">
        <v>40</v>
      </c>
    </row>
    <row r="38" spans="1:13" s="43" customFormat="1" ht="102" customHeight="1">
      <c r="A38" s="96" t="str">
        <f t="shared" si="0"/>
        <v>23EB0063CONTRACTOR'S ALL RISK POLICY</v>
      </c>
      <c r="B38" s="136">
        <v>17</v>
      </c>
      <c r="C38" s="42" t="s">
        <v>807</v>
      </c>
      <c r="D38" s="36" t="s">
        <v>1074</v>
      </c>
      <c r="E38" s="37" t="s">
        <v>1075</v>
      </c>
      <c r="F38" s="38">
        <v>6502387.1600000001</v>
      </c>
      <c r="G38" s="39">
        <v>45019</v>
      </c>
      <c r="H38" s="39">
        <v>45019</v>
      </c>
      <c r="I38" s="39">
        <v>45385</v>
      </c>
      <c r="J38" s="83" t="s">
        <v>30</v>
      </c>
      <c r="K38" s="40" t="s">
        <v>1085</v>
      </c>
      <c r="L38" s="41" t="s">
        <v>35</v>
      </c>
      <c r="M38" s="35" t="s">
        <v>31</v>
      </c>
    </row>
    <row r="39" spans="1:13" s="43" customFormat="1" ht="102" customHeight="1">
      <c r="A39" s="96" t="str">
        <f t="shared" si="0"/>
        <v>23EB0009PERFORMANCE BOND</v>
      </c>
      <c r="B39" s="136">
        <v>13</v>
      </c>
      <c r="C39" s="42" t="s">
        <v>58</v>
      </c>
      <c r="D39" s="36" t="s">
        <v>1068</v>
      </c>
      <c r="E39" s="37" t="s">
        <v>1069</v>
      </c>
      <c r="F39" s="38">
        <v>3914209</v>
      </c>
      <c r="G39" s="39">
        <v>45019</v>
      </c>
      <c r="H39" s="39">
        <v>45019</v>
      </c>
      <c r="I39" s="39">
        <v>45750</v>
      </c>
      <c r="J39" s="83" t="s">
        <v>27</v>
      </c>
      <c r="K39" s="40" t="s">
        <v>1086</v>
      </c>
      <c r="L39" s="41" t="s">
        <v>35</v>
      </c>
      <c r="M39" s="35" t="s">
        <v>40</v>
      </c>
    </row>
    <row r="40" spans="1:13" s="43" customFormat="1" ht="102" customHeight="1">
      <c r="A40" s="96" t="str">
        <f t="shared" si="0"/>
        <v>23EB0009CONTRACTOR'S ALL RISK POLICY</v>
      </c>
      <c r="B40" s="136">
        <v>13</v>
      </c>
      <c r="C40" s="42" t="s">
        <v>58</v>
      </c>
      <c r="D40" s="36" t="s">
        <v>1068</v>
      </c>
      <c r="E40" s="37" t="s">
        <v>1069</v>
      </c>
      <c r="F40" s="38">
        <v>13047362.800000001</v>
      </c>
      <c r="G40" s="39">
        <v>45019</v>
      </c>
      <c r="H40" s="39">
        <v>45019</v>
      </c>
      <c r="I40" s="39">
        <v>45385</v>
      </c>
      <c r="J40" s="83" t="s">
        <v>30</v>
      </c>
      <c r="K40" s="40" t="s">
        <v>1087</v>
      </c>
      <c r="L40" s="41" t="s">
        <v>35</v>
      </c>
      <c r="M40" s="35" t="s">
        <v>31</v>
      </c>
    </row>
    <row r="41" spans="1:13" ht="135.75" customHeight="1">
      <c r="A41" s="96" t="str">
        <f t="shared" si="0"/>
        <v>22EB0028RETENTION BOND</v>
      </c>
      <c r="B41" s="136">
        <v>28</v>
      </c>
      <c r="C41" s="42" t="s">
        <v>67</v>
      </c>
      <c r="D41" s="36" t="s">
        <v>292</v>
      </c>
      <c r="E41" s="37" t="s">
        <v>1088</v>
      </c>
      <c r="F41" s="38">
        <v>3093386.35</v>
      </c>
      <c r="G41" s="39">
        <v>45029</v>
      </c>
      <c r="H41" s="39">
        <v>45029</v>
      </c>
      <c r="I41" s="39">
        <v>45395</v>
      </c>
      <c r="J41" s="83" t="s">
        <v>30</v>
      </c>
      <c r="K41" s="40" t="s">
        <v>1089</v>
      </c>
      <c r="L41" s="41" t="s">
        <v>35</v>
      </c>
      <c r="M41" s="35" t="s">
        <v>33</v>
      </c>
    </row>
    <row r="42" spans="1:13" s="43" customFormat="1" ht="102" customHeight="1">
      <c r="A42" s="96" t="str">
        <f t="shared" si="0"/>
        <v>23EB0089ADVANCE PAYMENT BOND</v>
      </c>
      <c r="B42" s="136">
        <v>19</v>
      </c>
      <c r="C42" s="42" t="s">
        <v>38</v>
      </c>
      <c r="D42" s="36" t="s">
        <v>1077</v>
      </c>
      <c r="E42" s="37" t="s">
        <v>1078</v>
      </c>
      <c r="F42" s="38">
        <v>3074843.28</v>
      </c>
      <c r="G42" s="39">
        <v>45040</v>
      </c>
      <c r="H42" s="39">
        <v>45040</v>
      </c>
      <c r="I42" s="39">
        <v>45406</v>
      </c>
      <c r="J42" s="83" t="s">
        <v>30</v>
      </c>
      <c r="K42" s="40" t="s">
        <v>1090</v>
      </c>
      <c r="L42" s="41" t="s">
        <v>1080</v>
      </c>
      <c r="M42" s="35" t="s">
        <v>34</v>
      </c>
    </row>
    <row r="43" spans="1:13" ht="131.25" customHeight="1">
      <c r="A43" s="96" t="str">
        <f t="shared" si="0"/>
        <v>20EB0018PERFORMANCE BOND</v>
      </c>
      <c r="B43" s="136">
        <v>29</v>
      </c>
      <c r="C43" s="42" t="s">
        <v>67</v>
      </c>
      <c r="D43" s="36" t="s">
        <v>1091</v>
      </c>
      <c r="E43" s="37" t="s">
        <v>1092</v>
      </c>
      <c r="F43" s="38">
        <v>14598167.25</v>
      </c>
      <c r="G43" s="39">
        <v>44967</v>
      </c>
      <c r="H43" s="39">
        <v>44602</v>
      </c>
      <c r="I43" s="39">
        <v>45332</v>
      </c>
      <c r="J43" s="83" t="s">
        <v>30</v>
      </c>
      <c r="K43" s="40" t="s">
        <v>1093</v>
      </c>
      <c r="L43" s="41" t="s">
        <v>35</v>
      </c>
      <c r="M43" s="35" t="s">
        <v>40</v>
      </c>
    </row>
    <row r="44" spans="1:13" ht="94.5" customHeight="1">
      <c r="A44" s="96" t="str">
        <f>D44&amp;M44</f>
        <v>23EB0088CONTRACTOR'S ALL RISK POLICY</v>
      </c>
      <c r="B44" s="136">
        <v>31</v>
      </c>
      <c r="C44" s="42" t="s">
        <v>38</v>
      </c>
      <c r="D44" s="36" t="s">
        <v>1094</v>
      </c>
      <c r="E44" s="150" t="s">
        <v>1095</v>
      </c>
      <c r="F44" s="38">
        <v>11684673.07</v>
      </c>
      <c r="G44" s="39">
        <v>45040</v>
      </c>
      <c r="H44" s="39">
        <v>45040</v>
      </c>
      <c r="I44" s="39">
        <v>45406</v>
      </c>
      <c r="J44" s="83" t="s">
        <v>30</v>
      </c>
      <c r="K44" s="40" t="s">
        <v>1096</v>
      </c>
      <c r="L44" s="41" t="s">
        <v>35</v>
      </c>
      <c r="M44" s="35" t="s">
        <v>31</v>
      </c>
    </row>
    <row r="45" spans="1:13" ht="94.5" customHeight="1">
      <c r="A45" s="96" t="str">
        <f>D45&amp;M45</f>
        <v>23EB0088PERFORMANCE BOND</v>
      </c>
      <c r="B45" s="136">
        <v>31</v>
      </c>
      <c r="C45" s="42" t="s">
        <v>38</v>
      </c>
      <c r="D45" s="36" t="s">
        <v>1094</v>
      </c>
      <c r="E45" s="150" t="s">
        <v>1095</v>
      </c>
      <c r="F45" s="38">
        <v>3505402</v>
      </c>
      <c r="G45" s="39">
        <v>45040</v>
      </c>
      <c r="H45" s="39">
        <v>45040</v>
      </c>
      <c r="I45" s="39">
        <v>45406</v>
      </c>
      <c r="J45" s="83" t="s">
        <v>30</v>
      </c>
      <c r="K45" s="40" t="s">
        <v>1097</v>
      </c>
      <c r="L45" s="41" t="s">
        <v>35</v>
      </c>
      <c r="M45" s="35" t="s">
        <v>40</v>
      </c>
    </row>
    <row r="46" spans="1:13" ht="96" customHeight="1">
      <c r="A46" s="96" t="str">
        <f t="shared" ref="A46:A109" si="1">D46&amp;M46</f>
        <v>23EB0059-R2CONTRACTOR'S ALL RISK POLICY</v>
      </c>
      <c r="B46" s="136">
        <v>33</v>
      </c>
      <c r="C46" s="42" t="s">
        <v>1098</v>
      </c>
      <c r="D46" s="36" t="s">
        <v>1099</v>
      </c>
      <c r="E46" s="37" t="s">
        <v>1100</v>
      </c>
      <c r="F46" s="38">
        <v>4847372.7300000004</v>
      </c>
      <c r="G46" s="39">
        <v>45014</v>
      </c>
      <c r="H46" s="39">
        <v>45014</v>
      </c>
      <c r="I46" s="39">
        <v>45380</v>
      </c>
      <c r="J46" s="83" t="s">
        <v>30</v>
      </c>
      <c r="K46" s="40" t="s">
        <v>1101</v>
      </c>
      <c r="L46" s="41" t="s">
        <v>35</v>
      </c>
      <c r="M46" s="35" t="s">
        <v>31</v>
      </c>
    </row>
    <row r="47" spans="1:13" ht="96" customHeight="1">
      <c r="A47" s="96" t="str">
        <f t="shared" si="1"/>
        <v>23EB0059-R2PERFORMANCE BOND</v>
      </c>
      <c r="B47" s="136">
        <v>33</v>
      </c>
      <c r="C47" s="42" t="s">
        <v>1098</v>
      </c>
      <c r="D47" s="36" t="s">
        <v>1099</v>
      </c>
      <c r="E47" s="37" t="s">
        <v>1100</v>
      </c>
      <c r="F47" s="38">
        <v>1454211.82</v>
      </c>
      <c r="G47" s="39">
        <v>45014</v>
      </c>
      <c r="H47" s="39">
        <v>45014</v>
      </c>
      <c r="I47" s="39">
        <v>45380</v>
      </c>
      <c r="J47" s="83" t="s">
        <v>27</v>
      </c>
      <c r="K47" s="40" t="s">
        <v>1102</v>
      </c>
      <c r="L47" s="41" t="s">
        <v>35</v>
      </c>
      <c r="M47" s="35" t="s">
        <v>40</v>
      </c>
    </row>
    <row r="48" spans="1:13" ht="96" customHeight="1">
      <c r="A48" s="96" t="str">
        <f t="shared" si="1"/>
        <v>23EB0059-R2ADVANCE PAYMENT BOND</v>
      </c>
      <c r="B48" s="136">
        <v>33</v>
      </c>
      <c r="C48" s="42" t="s">
        <v>1098</v>
      </c>
      <c r="D48" s="36" t="s">
        <v>1099</v>
      </c>
      <c r="E48" s="37" t="s">
        <v>1100</v>
      </c>
      <c r="F48" s="38">
        <v>727105.91</v>
      </c>
      <c r="G48" s="39">
        <v>45033</v>
      </c>
      <c r="H48" s="39">
        <v>45033</v>
      </c>
      <c r="I48" s="39">
        <v>45399</v>
      </c>
      <c r="J48" s="83" t="s">
        <v>30</v>
      </c>
      <c r="K48" s="40" t="s">
        <v>1103</v>
      </c>
      <c r="L48" s="41" t="s">
        <v>35</v>
      </c>
      <c r="M48" s="35" t="s">
        <v>34</v>
      </c>
    </row>
    <row r="49" spans="1:13" ht="94.5" customHeight="1">
      <c r="A49" s="96" t="str">
        <f>D49&amp;M49</f>
        <v>23EB0088ADVANCE PAYMENT BOND</v>
      </c>
      <c r="B49" s="136">
        <v>31</v>
      </c>
      <c r="C49" s="42" t="s">
        <v>38</v>
      </c>
      <c r="D49" s="36" t="s">
        <v>1094</v>
      </c>
      <c r="E49" s="150" t="s">
        <v>1095</v>
      </c>
      <c r="F49" s="38">
        <v>1752700.96</v>
      </c>
      <c r="G49" s="39">
        <v>45044</v>
      </c>
      <c r="H49" s="39">
        <v>45044</v>
      </c>
      <c r="I49" s="39">
        <v>45410</v>
      </c>
      <c r="J49" s="83" t="s">
        <v>30</v>
      </c>
      <c r="K49" s="40" t="s">
        <v>1104</v>
      </c>
      <c r="L49" s="41" t="s">
        <v>35</v>
      </c>
      <c r="M49" s="35" t="s">
        <v>34</v>
      </c>
    </row>
    <row r="50" spans="1:13" ht="96" customHeight="1">
      <c r="A50" s="96" t="str">
        <f t="shared" ref="A50:A58" si="2">D50&amp;M50</f>
        <v>23EB0084PERFORMANCE BOND</v>
      </c>
      <c r="B50" s="136">
        <v>37</v>
      </c>
      <c r="C50" s="42" t="s">
        <v>453</v>
      </c>
      <c r="D50" s="36" t="s">
        <v>1105</v>
      </c>
      <c r="E50" s="37" t="s">
        <v>1106</v>
      </c>
      <c r="F50" s="38">
        <v>1463461</v>
      </c>
      <c r="G50" s="39">
        <v>45013</v>
      </c>
      <c r="H50" s="39">
        <v>45013</v>
      </c>
      <c r="I50" s="39">
        <v>45744</v>
      </c>
      <c r="J50" s="83" t="s">
        <v>27</v>
      </c>
      <c r="K50" s="40" t="s">
        <v>1107</v>
      </c>
      <c r="L50" s="41" t="s">
        <v>35</v>
      </c>
      <c r="M50" s="35" t="s">
        <v>40</v>
      </c>
    </row>
    <row r="51" spans="1:13" ht="96" customHeight="1">
      <c r="A51" s="96" t="str">
        <f t="shared" si="2"/>
        <v>23EB0084CONTRACTOR'S ALL RISK POLICY</v>
      </c>
      <c r="B51" s="136">
        <v>37</v>
      </c>
      <c r="C51" s="42" t="s">
        <v>453</v>
      </c>
      <c r="D51" s="36" t="s">
        <v>1105</v>
      </c>
      <c r="E51" s="37" t="s">
        <v>1106</v>
      </c>
      <c r="F51" s="38">
        <v>4878202.6500000004</v>
      </c>
      <c r="G51" s="39">
        <v>45013</v>
      </c>
      <c r="H51" s="39">
        <v>45013</v>
      </c>
      <c r="I51" s="39">
        <v>45379</v>
      </c>
      <c r="J51" s="83" t="s">
        <v>30</v>
      </c>
      <c r="K51" s="40" t="s">
        <v>1108</v>
      </c>
      <c r="L51" s="41" t="s">
        <v>35</v>
      </c>
      <c r="M51" s="35" t="s">
        <v>31</v>
      </c>
    </row>
    <row r="52" spans="1:13" ht="96" customHeight="1">
      <c r="A52" s="96" t="str">
        <f t="shared" si="2"/>
        <v>23EB0083PERFORMANCE BOND</v>
      </c>
      <c r="B52" s="136">
        <v>37</v>
      </c>
      <c r="C52" s="42" t="s">
        <v>453</v>
      </c>
      <c r="D52" s="36" t="s">
        <v>1109</v>
      </c>
      <c r="E52" s="37" t="s">
        <v>1110</v>
      </c>
      <c r="F52" s="38">
        <v>1439245.5</v>
      </c>
      <c r="G52" s="39">
        <v>45013</v>
      </c>
      <c r="H52" s="39">
        <v>45013</v>
      </c>
      <c r="I52" s="39">
        <v>45744</v>
      </c>
      <c r="J52" s="83" t="s">
        <v>27</v>
      </c>
      <c r="K52" s="40" t="s">
        <v>1111</v>
      </c>
      <c r="L52" s="41" t="s">
        <v>35</v>
      </c>
      <c r="M52" s="35" t="s">
        <v>40</v>
      </c>
    </row>
    <row r="53" spans="1:13" ht="96" customHeight="1">
      <c r="A53" s="96" t="str">
        <f t="shared" si="2"/>
        <v>23EB0083CONTRACTOR'S ALL RISK POLICY</v>
      </c>
      <c r="B53" s="136">
        <v>37</v>
      </c>
      <c r="C53" s="42" t="s">
        <v>453</v>
      </c>
      <c r="D53" s="36" t="s">
        <v>1109</v>
      </c>
      <c r="E53" s="37" t="s">
        <v>1110</v>
      </c>
      <c r="F53" s="38">
        <v>4797484.47</v>
      </c>
      <c r="G53" s="39">
        <v>45013</v>
      </c>
      <c r="H53" s="39">
        <v>45013</v>
      </c>
      <c r="I53" s="39">
        <v>45379</v>
      </c>
      <c r="J53" s="83" t="s">
        <v>30</v>
      </c>
      <c r="K53" s="40" t="s">
        <v>1112</v>
      </c>
      <c r="L53" s="41" t="s">
        <v>35</v>
      </c>
      <c r="M53" s="35" t="s">
        <v>31</v>
      </c>
    </row>
    <row r="54" spans="1:13" ht="96" customHeight="1">
      <c r="A54" s="96" t="str">
        <f t="shared" si="2"/>
        <v>23EB0085PERFORMANCE BOND</v>
      </c>
      <c r="B54" s="136">
        <v>37</v>
      </c>
      <c r="C54" s="42" t="s">
        <v>453</v>
      </c>
      <c r="D54" s="36" t="s">
        <v>1113</v>
      </c>
      <c r="E54" s="37" t="s">
        <v>1114</v>
      </c>
      <c r="F54" s="38">
        <v>1463461</v>
      </c>
      <c r="G54" s="39">
        <v>45016</v>
      </c>
      <c r="H54" s="39">
        <v>45016</v>
      </c>
      <c r="I54" s="39">
        <v>45747</v>
      </c>
      <c r="J54" s="83" t="s">
        <v>27</v>
      </c>
      <c r="K54" s="40" t="s">
        <v>1115</v>
      </c>
      <c r="L54" s="41" t="s">
        <v>35</v>
      </c>
      <c r="M54" s="35" t="s">
        <v>40</v>
      </c>
    </row>
    <row r="55" spans="1:13" ht="96" customHeight="1">
      <c r="A55" s="96" t="str">
        <f t="shared" si="2"/>
        <v>23EB0085CONTRACTOR'S ALL RISK POLICY</v>
      </c>
      <c r="B55" s="136">
        <v>37</v>
      </c>
      <c r="C55" s="42" t="s">
        <v>453</v>
      </c>
      <c r="D55" s="36" t="s">
        <v>1113</v>
      </c>
      <c r="E55" s="37" t="s">
        <v>1114</v>
      </c>
      <c r="F55" s="38">
        <v>4878202.6399999997</v>
      </c>
      <c r="G55" s="39">
        <v>45016</v>
      </c>
      <c r="H55" s="39">
        <v>45016</v>
      </c>
      <c r="I55" s="39">
        <v>45382</v>
      </c>
      <c r="J55" s="83" t="s">
        <v>30</v>
      </c>
      <c r="K55" s="40" t="s">
        <v>1116</v>
      </c>
      <c r="L55" s="41" t="s">
        <v>35</v>
      </c>
      <c r="M55" s="35" t="s">
        <v>31</v>
      </c>
    </row>
    <row r="56" spans="1:13" ht="96" customHeight="1">
      <c r="A56" s="96" t="str">
        <f t="shared" si="2"/>
        <v>23EB0051-R1PERFORMANCE BOND</v>
      </c>
      <c r="B56" s="136">
        <v>40</v>
      </c>
      <c r="C56" s="42" t="s">
        <v>1117</v>
      </c>
      <c r="D56" s="36" t="s">
        <v>1118</v>
      </c>
      <c r="E56" s="37" t="s">
        <v>1119</v>
      </c>
      <c r="F56" s="38">
        <v>1454788.24</v>
      </c>
      <c r="G56" s="39">
        <v>44992</v>
      </c>
      <c r="H56" s="39">
        <v>44992</v>
      </c>
      <c r="I56" s="39">
        <v>45723</v>
      </c>
      <c r="J56" s="83" t="s">
        <v>27</v>
      </c>
      <c r="K56" s="40" t="s">
        <v>1120</v>
      </c>
      <c r="L56" s="41" t="s">
        <v>32</v>
      </c>
      <c r="M56" s="35" t="s">
        <v>40</v>
      </c>
    </row>
    <row r="57" spans="1:13" ht="96" customHeight="1">
      <c r="A57" s="96" t="str">
        <f t="shared" si="2"/>
        <v>23EB0051-R1CONTRACTOR'S ALL RISK POLICY</v>
      </c>
      <c r="B57" s="136">
        <v>40</v>
      </c>
      <c r="C57" s="42" t="s">
        <v>1117</v>
      </c>
      <c r="D57" s="36" t="s">
        <v>1118</v>
      </c>
      <c r="E57" s="37" t="s">
        <v>1119</v>
      </c>
      <c r="F57" s="38">
        <v>4849294.13</v>
      </c>
      <c r="G57" s="39">
        <v>45008</v>
      </c>
      <c r="H57" s="39">
        <v>45008</v>
      </c>
      <c r="I57" s="39">
        <v>45374</v>
      </c>
      <c r="J57" s="83" t="s">
        <v>30</v>
      </c>
      <c r="K57" s="40" t="s">
        <v>1121</v>
      </c>
      <c r="L57" s="41" t="s">
        <v>32</v>
      </c>
      <c r="M57" s="35" t="s">
        <v>31</v>
      </c>
    </row>
    <row r="58" spans="1:13" ht="96" customHeight="1">
      <c r="A58" s="96" t="str">
        <f t="shared" si="2"/>
        <v>21EB0066RETENTION BOND</v>
      </c>
      <c r="B58" s="136">
        <v>40</v>
      </c>
      <c r="C58" s="42" t="s">
        <v>440</v>
      </c>
      <c r="D58" s="36" t="s">
        <v>1122</v>
      </c>
      <c r="E58" s="37" t="s">
        <v>1123</v>
      </c>
      <c r="F58" s="38">
        <v>4418510.25</v>
      </c>
      <c r="G58" s="39">
        <v>45020</v>
      </c>
      <c r="H58" s="39">
        <v>45020</v>
      </c>
      <c r="I58" s="39">
        <v>45386</v>
      </c>
      <c r="J58" s="83" t="s">
        <v>30</v>
      </c>
      <c r="K58" s="40" t="s">
        <v>1124</v>
      </c>
      <c r="L58" s="41" t="s">
        <v>35</v>
      </c>
      <c r="M58" s="35" t="s">
        <v>33</v>
      </c>
    </row>
    <row r="59" spans="1:13" s="43" customFormat="1" ht="96" customHeight="1">
      <c r="A59" s="96" t="str">
        <f t="shared" si="1"/>
        <v>22EB0014RETENTION BOND</v>
      </c>
      <c r="B59" s="151">
        <v>46</v>
      </c>
      <c r="C59" s="42" t="s">
        <v>36</v>
      </c>
      <c r="D59" s="36" t="s">
        <v>1125</v>
      </c>
      <c r="E59" s="37" t="s">
        <v>1126</v>
      </c>
      <c r="F59" s="38">
        <v>4008034.61</v>
      </c>
      <c r="G59" s="39">
        <v>45027</v>
      </c>
      <c r="H59" s="39">
        <v>45027</v>
      </c>
      <c r="I59" s="39">
        <v>45393</v>
      </c>
      <c r="J59" s="152" t="s">
        <v>30</v>
      </c>
      <c r="K59" s="40" t="s">
        <v>1127</v>
      </c>
      <c r="L59" s="41" t="s">
        <v>32</v>
      </c>
      <c r="M59" s="35" t="s">
        <v>33</v>
      </c>
    </row>
    <row r="60" spans="1:13" ht="96" customHeight="1">
      <c r="A60" s="96" t="str">
        <f t="shared" si="1"/>
        <v>23EB0075ADVANCE PAYMENT BOND</v>
      </c>
      <c r="B60" s="136">
        <v>47</v>
      </c>
      <c r="C60" s="42" t="s">
        <v>1128</v>
      </c>
      <c r="D60" s="36" t="s">
        <v>1129</v>
      </c>
      <c r="E60" s="37" t="s">
        <v>1130</v>
      </c>
      <c r="F60" s="38">
        <v>1455662.98</v>
      </c>
      <c r="G60" s="39">
        <v>45111</v>
      </c>
      <c r="H60" s="39">
        <v>45111</v>
      </c>
      <c r="I60" s="39">
        <v>45477</v>
      </c>
      <c r="J60" s="83" t="s">
        <v>30</v>
      </c>
      <c r="K60" s="40" t="s">
        <v>1131</v>
      </c>
      <c r="L60" s="41" t="s">
        <v>32</v>
      </c>
      <c r="M60" s="35" t="s">
        <v>34</v>
      </c>
    </row>
    <row r="61" spans="1:13" ht="96" customHeight="1">
      <c r="A61" s="96" t="str">
        <f t="shared" si="1"/>
        <v>23EB0075PERFORMANCE BOND</v>
      </c>
      <c r="B61" s="136">
        <v>47</v>
      </c>
      <c r="C61" s="42" t="s">
        <v>1128</v>
      </c>
      <c r="D61" s="36" t="s">
        <v>1129</v>
      </c>
      <c r="E61" s="37" t="s">
        <v>1130</v>
      </c>
      <c r="F61" s="38">
        <v>2911325.96</v>
      </c>
      <c r="G61" s="39">
        <v>45111</v>
      </c>
      <c r="H61" s="39">
        <v>45111</v>
      </c>
      <c r="I61" s="39">
        <v>45842</v>
      </c>
      <c r="J61" s="83" t="s">
        <v>27</v>
      </c>
      <c r="K61" s="40" t="s">
        <v>1132</v>
      </c>
      <c r="L61" s="41" t="s">
        <v>32</v>
      </c>
      <c r="M61" s="35" t="s">
        <v>40</v>
      </c>
    </row>
    <row r="62" spans="1:13" ht="96" customHeight="1">
      <c r="A62" s="96" t="str">
        <f t="shared" si="1"/>
        <v>23EB0075CONTRACTOR'S ALL RISK POLICY</v>
      </c>
      <c r="B62" s="136">
        <v>47</v>
      </c>
      <c r="C62" s="42" t="s">
        <v>1128</v>
      </c>
      <c r="D62" s="36" t="s">
        <v>1129</v>
      </c>
      <c r="E62" s="37" t="s">
        <v>1130</v>
      </c>
      <c r="F62" s="38">
        <v>9704419.8699999992</v>
      </c>
      <c r="G62" s="39">
        <v>45111</v>
      </c>
      <c r="H62" s="39">
        <v>45111</v>
      </c>
      <c r="I62" s="39">
        <v>45477</v>
      </c>
      <c r="J62" s="83" t="s">
        <v>30</v>
      </c>
      <c r="K62" s="40" t="s">
        <v>1133</v>
      </c>
      <c r="L62" s="41" t="s">
        <v>32</v>
      </c>
      <c r="M62" s="35" t="s">
        <v>31</v>
      </c>
    </row>
    <row r="63" spans="1:13" ht="96" customHeight="1">
      <c r="A63" s="96" t="str">
        <f t="shared" si="1"/>
        <v>23EB0074ADVANCE PAYMENT BOND</v>
      </c>
      <c r="B63" s="136">
        <v>47</v>
      </c>
      <c r="C63" s="42" t="s">
        <v>1128</v>
      </c>
      <c r="D63" s="36" t="s">
        <v>1134</v>
      </c>
      <c r="E63" s="37" t="s">
        <v>1135</v>
      </c>
      <c r="F63" s="38">
        <v>1456365.61</v>
      </c>
      <c r="G63" s="39">
        <v>45111</v>
      </c>
      <c r="H63" s="39">
        <v>45111</v>
      </c>
      <c r="I63" s="39">
        <v>45477</v>
      </c>
      <c r="J63" s="83" t="s">
        <v>30</v>
      </c>
      <c r="K63" s="40" t="s">
        <v>1136</v>
      </c>
      <c r="L63" s="41" t="s">
        <v>32</v>
      </c>
      <c r="M63" s="35" t="s">
        <v>34</v>
      </c>
    </row>
    <row r="64" spans="1:13" ht="96" customHeight="1">
      <c r="A64" s="96" t="str">
        <f t="shared" si="1"/>
        <v>23EB0074PERFORMANCE BOND</v>
      </c>
      <c r="B64" s="136">
        <v>47</v>
      </c>
      <c r="C64" s="42" t="s">
        <v>1128</v>
      </c>
      <c r="D64" s="36" t="s">
        <v>1134</v>
      </c>
      <c r="E64" s="37" t="s">
        <v>1135</v>
      </c>
      <c r="F64" s="38">
        <v>2912731.22</v>
      </c>
      <c r="G64" s="39">
        <v>45111</v>
      </c>
      <c r="H64" s="39">
        <v>45111</v>
      </c>
      <c r="I64" s="39">
        <v>45842</v>
      </c>
      <c r="J64" s="83" t="s">
        <v>27</v>
      </c>
      <c r="K64" s="40" t="s">
        <v>1137</v>
      </c>
      <c r="L64" s="41" t="s">
        <v>32</v>
      </c>
      <c r="M64" s="35" t="s">
        <v>40</v>
      </c>
    </row>
    <row r="65" spans="1:13" ht="96" customHeight="1">
      <c r="A65" s="96" t="str">
        <f t="shared" si="1"/>
        <v>23EB0074CONTRACTOR'S ALL RISK POLICY</v>
      </c>
      <c r="B65" s="136">
        <v>47</v>
      </c>
      <c r="C65" s="42" t="s">
        <v>1128</v>
      </c>
      <c r="D65" s="36" t="s">
        <v>1134</v>
      </c>
      <c r="E65" s="37" t="s">
        <v>1135</v>
      </c>
      <c r="F65" s="38">
        <v>9709104.0800000001</v>
      </c>
      <c r="G65" s="39">
        <v>45111</v>
      </c>
      <c r="H65" s="39">
        <v>45111</v>
      </c>
      <c r="I65" s="39">
        <v>45477</v>
      </c>
      <c r="J65" s="83" t="s">
        <v>30</v>
      </c>
      <c r="K65" s="40" t="s">
        <v>1138</v>
      </c>
      <c r="L65" s="41" t="s">
        <v>32</v>
      </c>
      <c r="M65" s="35" t="s">
        <v>31</v>
      </c>
    </row>
    <row r="66" spans="1:13" ht="96" customHeight="1">
      <c r="A66" s="96" t="str">
        <f t="shared" si="1"/>
        <v>23EB0027RETENTION BOND</v>
      </c>
      <c r="B66" s="136">
        <v>53</v>
      </c>
      <c r="C66" s="42" t="s">
        <v>440</v>
      </c>
      <c r="D66" s="36" t="s">
        <v>876</v>
      </c>
      <c r="E66" s="37" t="s">
        <v>1140</v>
      </c>
      <c r="F66" s="38">
        <v>4507946.84</v>
      </c>
      <c r="G66" s="39">
        <v>45117</v>
      </c>
      <c r="H66" s="39">
        <v>45117</v>
      </c>
      <c r="I66" s="39">
        <v>45483</v>
      </c>
      <c r="J66" s="83" t="s">
        <v>30</v>
      </c>
      <c r="K66" s="40" t="s">
        <v>1139</v>
      </c>
      <c r="L66" s="41" t="s">
        <v>32</v>
      </c>
      <c r="M66" s="35" t="s">
        <v>33</v>
      </c>
    </row>
    <row r="67" spans="1:13" ht="96" customHeight="1">
      <c r="A67" s="96" t="str">
        <f t="shared" si="1"/>
        <v>23EB0060RETENTION BOND</v>
      </c>
      <c r="B67" s="136">
        <v>53</v>
      </c>
      <c r="C67" s="42" t="s">
        <v>75</v>
      </c>
      <c r="D67" s="36" t="s">
        <v>791</v>
      </c>
      <c r="E67" s="37" t="s">
        <v>1141</v>
      </c>
      <c r="F67" s="38">
        <v>494855.52</v>
      </c>
      <c r="G67" s="39">
        <v>45104</v>
      </c>
      <c r="H67" s="39">
        <v>45103</v>
      </c>
      <c r="I67" s="39">
        <v>45469</v>
      </c>
      <c r="J67" s="83" t="s">
        <v>30</v>
      </c>
      <c r="K67" s="40" t="s">
        <v>1142</v>
      </c>
      <c r="L67" s="41" t="s">
        <v>35</v>
      </c>
      <c r="M67" s="35" t="s">
        <v>33</v>
      </c>
    </row>
    <row r="68" spans="1:13" ht="96" customHeight="1">
      <c r="A68" s="96" t="str">
        <f t="shared" si="1"/>
        <v>23EB0053RETENTION BOND</v>
      </c>
      <c r="B68" s="136">
        <v>53</v>
      </c>
      <c r="C68" s="42" t="s">
        <v>43</v>
      </c>
      <c r="D68" s="36" t="s">
        <v>775</v>
      </c>
      <c r="E68" s="37" t="s">
        <v>776</v>
      </c>
      <c r="F68" s="38">
        <v>494921.66</v>
      </c>
      <c r="G68" s="39">
        <v>45106</v>
      </c>
      <c r="H68" s="39">
        <v>45106</v>
      </c>
      <c r="I68" s="39">
        <v>45472</v>
      </c>
      <c r="J68" s="83" t="s">
        <v>30</v>
      </c>
      <c r="K68" s="40" t="s">
        <v>1143</v>
      </c>
      <c r="L68" s="41" t="s">
        <v>35</v>
      </c>
      <c r="M68" s="35" t="s">
        <v>33</v>
      </c>
    </row>
    <row r="69" spans="1:13" ht="96" customHeight="1">
      <c r="A69" s="96" t="str">
        <f t="shared" si="1"/>
        <v>23EB0042RETENTION BOND</v>
      </c>
      <c r="B69" s="136">
        <v>53</v>
      </c>
      <c r="C69" s="42" t="s">
        <v>43</v>
      </c>
      <c r="D69" s="36" t="s">
        <v>779</v>
      </c>
      <c r="E69" s="37" t="s">
        <v>1144</v>
      </c>
      <c r="F69" s="38">
        <v>979665.33</v>
      </c>
      <c r="G69" s="39">
        <v>45107</v>
      </c>
      <c r="H69" s="39">
        <v>45106</v>
      </c>
      <c r="I69" s="39">
        <v>45472</v>
      </c>
      <c r="J69" s="83" t="s">
        <v>30</v>
      </c>
      <c r="K69" s="40" t="s">
        <v>1145</v>
      </c>
      <c r="L69" s="41" t="s">
        <v>35</v>
      </c>
      <c r="M69" s="35" t="s">
        <v>33</v>
      </c>
    </row>
    <row r="70" spans="1:13" ht="96" customHeight="1">
      <c r="A70" s="96" t="str">
        <f t="shared" si="1"/>
        <v>21EB0163RETENTION BOND</v>
      </c>
      <c r="B70" s="136">
        <v>53</v>
      </c>
      <c r="C70" s="42" t="s">
        <v>280</v>
      </c>
      <c r="D70" s="36" t="s">
        <v>1146</v>
      </c>
      <c r="E70" s="37" t="s">
        <v>1147</v>
      </c>
      <c r="F70" s="38">
        <v>1888960</v>
      </c>
      <c r="G70" s="39">
        <v>45090</v>
      </c>
      <c r="H70" s="39">
        <v>45090</v>
      </c>
      <c r="I70" s="39">
        <v>45456</v>
      </c>
      <c r="J70" s="83" t="s">
        <v>30</v>
      </c>
      <c r="K70" s="40" t="s">
        <v>1148</v>
      </c>
      <c r="L70" s="41" t="s">
        <v>35</v>
      </c>
      <c r="M70" s="35" t="s">
        <v>33</v>
      </c>
    </row>
    <row r="71" spans="1:13" ht="96" customHeight="1">
      <c r="A71" s="96" t="str">
        <f t="shared" si="1"/>
        <v>21EB0070PERFORMANCE BOND</v>
      </c>
      <c r="B71" s="136">
        <v>57</v>
      </c>
      <c r="C71" s="42" t="s">
        <v>663</v>
      </c>
      <c r="D71" s="36" t="s">
        <v>1149</v>
      </c>
      <c r="E71" s="37" t="s">
        <v>1150</v>
      </c>
      <c r="F71" s="38">
        <v>8476338.4700000007</v>
      </c>
      <c r="G71" s="39">
        <v>44986</v>
      </c>
      <c r="H71" s="39">
        <v>44986</v>
      </c>
      <c r="I71" s="39">
        <v>45352</v>
      </c>
      <c r="J71" s="83" t="s">
        <v>30</v>
      </c>
      <c r="K71" s="40" t="s">
        <v>1151</v>
      </c>
      <c r="L71" s="41" t="s">
        <v>69</v>
      </c>
      <c r="M71" s="35" t="s">
        <v>40</v>
      </c>
    </row>
    <row r="72" spans="1:13" ht="96" customHeight="1">
      <c r="A72" s="96" t="str">
        <f t="shared" si="1"/>
        <v>23EB0089RETENTION BOND</v>
      </c>
      <c r="B72" s="136">
        <v>57</v>
      </c>
      <c r="C72" s="42" t="s">
        <v>38</v>
      </c>
      <c r="D72" s="36" t="s">
        <v>1077</v>
      </c>
      <c r="E72" s="37" t="s">
        <v>1152</v>
      </c>
      <c r="F72" s="38">
        <v>2114160.84</v>
      </c>
      <c r="G72" s="39">
        <v>45117</v>
      </c>
      <c r="H72" s="39">
        <v>45117</v>
      </c>
      <c r="I72" s="39">
        <v>45483</v>
      </c>
      <c r="J72" s="83" t="s">
        <v>30</v>
      </c>
      <c r="K72" s="40" t="s">
        <v>1153</v>
      </c>
      <c r="L72" s="41" t="s">
        <v>1080</v>
      </c>
      <c r="M72" s="35" t="s">
        <v>33</v>
      </c>
    </row>
    <row r="73" spans="1:13" ht="96" customHeight="1">
      <c r="A73" s="96" t="str">
        <f t="shared" si="1"/>
        <v>23EB0041-R1WARRANTY BOND</v>
      </c>
      <c r="B73" s="136">
        <v>57</v>
      </c>
      <c r="C73" s="42" t="s">
        <v>42</v>
      </c>
      <c r="D73" s="36" t="s">
        <v>908</v>
      </c>
      <c r="E73" s="37" t="s">
        <v>1154</v>
      </c>
      <c r="F73" s="38">
        <v>2939972.62</v>
      </c>
      <c r="G73" s="39">
        <v>45045</v>
      </c>
      <c r="H73" s="39">
        <v>45045</v>
      </c>
      <c r="I73" s="39">
        <v>45411</v>
      </c>
      <c r="J73" s="83" t="s">
        <v>30</v>
      </c>
      <c r="K73" s="40" t="s">
        <v>1155</v>
      </c>
      <c r="L73" s="41" t="s">
        <v>35</v>
      </c>
      <c r="M73" s="35" t="s">
        <v>37</v>
      </c>
    </row>
    <row r="74" spans="1:13" ht="109.5" customHeight="1">
      <c r="A74" s="96" t="str">
        <f t="shared" si="1"/>
        <v>23EB0060WARRANTY BOND</v>
      </c>
      <c r="B74" s="136">
        <v>61</v>
      </c>
      <c r="C74" s="42" t="s">
        <v>75</v>
      </c>
      <c r="D74" s="36" t="s">
        <v>791</v>
      </c>
      <c r="E74" s="37" t="s">
        <v>792</v>
      </c>
      <c r="F74" s="38">
        <v>1454662.98</v>
      </c>
      <c r="G74" s="39">
        <v>45109</v>
      </c>
      <c r="H74" s="39">
        <v>45108</v>
      </c>
      <c r="I74" s="39">
        <v>45474</v>
      </c>
      <c r="J74" s="83" t="s">
        <v>30</v>
      </c>
      <c r="K74" s="40" t="s">
        <v>1156</v>
      </c>
      <c r="L74" s="41" t="s">
        <v>35</v>
      </c>
      <c r="M74" s="35" t="s">
        <v>37</v>
      </c>
    </row>
    <row r="75" spans="1:13" ht="109.5" customHeight="1">
      <c r="A75" s="96" t="str">
        <f t="shared" si="1"/>
        <v>23EB0096PERFORMANCE BOND</v>
      </c>
      <c r="B75" s="136">
        <v>61</v>
      </c>
      <c r="C75" s="42" t="s">
        <v>44</v>
      </c>
      <c r="D75" s="36" t="s">
        <v>1157</v>
      </c>
      <c r="E75" s="37" t="s">
        <v>1158</v>
      </c>
      <c r="F75" s="38">
        <v>445499.17</v>
      </c>
      <c r="G75" s="39">
        <v>45104</v>
      </c>
      <c r="H75" s="39">
        <v>45104</v>
      </c>
      <c r="I75" s="39">
        <v>45835</v>
      </c>
      <c r="J75" s="83" t="s">
        <v>27</v>
      </c>
      <c r="K75" s="40" t="s">
        <v>1159</v>
      </c>
      <c r="L75" s="41" t="s">
        <v>69</v>
      </c>
      <c r="M75" s="35" t="s">
        <v>40</v>
      </c>
    </row>
    <row r="76" spans="1:13" ht="109.5" customHeight="1">
      <c r="A76" s="96" t="str">
        <f t="shared" si="1"/>
        <v>23EB0096CONTRACTOR'S ALL RISK POLICY</v>
      </c>
      <c r="B76" s="136">
        <v>61</v>
      </c>
      <c r="C76" s="42" t="s">
        <v>44</v>
      </c>
      <c r="D76" s="36" t="s">
        <v>1157</v>
      </c>
      <c r="E76" s="37" t="s">
        <v>1158</v>
      </c>
      <c r="F76" s="38">
        <v>1484997.23</v>
      </c>
      <c r="G76" s="39">
        <v>45104</v>
      </c>
      <c r="H76" s="39">
        <v>45104</v>
      </c>
      <c r="I76" s="39">
        <v>45470</v>
      </c>
      <c r="J76" s="83" t="s">
        <v>30</v>
      </c>
      <c r="K76" s="40" t="s">
        <v>1160</v>
      </c>
      <c r="L76" s="41" t="s">
        <v>69</v>
      </c>
      <c r="M76" s="35" t="s">
        <v>31</v>
      </c>
    </row>
    <row r="77" spans="1:13" ht="109.5" customHeight="1">
      <c r="A77" s="96" t="str">
        <f t="shared" si="1"/>
        <v>23EB0067-R1WARRANTY BOND</v>
      </c>
      <c r="B77" s="136">
        <v>61</v>
      </c>
      <c r="C77" s="42" t="s">
        <v>895</v>
      </c>
      <c r="D77" s="36" t="s">
        <v>904</v>
      </c>
      <c r="E77" s="37" t="s">
        <v>905</v>
      </c>
      <c r="F77" s="38">
        <v>2969497.68</v>
      </c>
      <c r="G77" s="39">
        <v>45051</v>
      </c>
      <c r="H77" s="39">
        <v>45049</v>
      </c>
      <c r="I77" s="39">
        <v>45049</v>
      </c>
      <c r="J77" s="83" t="s">
        <v>30</v>
      </c>
      <c r="K77" s="40" t="s">
        <v>1161</v>
      </c>
      <c r="L77" s="41" t="s">
        <v>35</v>
      </c>
      <c r="M77" s="35" t="s">
        <v>37</v>
      </c>
    </row>
    <row r="78" spans="1:13" ht="129" customHeight="1">
      <c r="A78" s="96" t="str">
        <f t="shared" si="1"/>
        <v>23EB0043-R1WARRANTY BOND</v>
      </c>
      <c r="B78" s="136">
        <v>53</v>
      </c>
      <c r="C78" s="42" t="s">
        <v>43</v>
      </c>
      <c r="D78" s="36" t="s">
        <v>783</v>
      </c>
      <c r="E78" s="37" t="s">
        <v>784</v>
      </c>
      <c r="F78" s="38">
        <v>1519805.91</v>
      </c>
      <c r="G78" s="39">
        <v>45040</v>
      </c>
      <c r="H78" s="39">
        <v>45030</v>
      </c>
      <c r="I78" s="39">
        <v>45396</v>
      </c>
      <c r="J78" s="83" t="s">
        <v>30</v>
      </c>
      <c r="K78" s="40" t="s">
        <v>1162</v>
      </c>
      <c r="L78" s="41" t="s">
        <v>35</v>
      </c>
      <c r="M78" s="35" t="s">
        <v>37</v>
      </c>
    </row>
    <row r="79" spans="1:13" ht="82.5" customHeight="1">
      <c r="A79" s="96" t="str">
        <f t="shared" si="1"/>
        <v>23EB0041-R1RETENTION BOND</v>
      </c>
      <c r="B79" s="136">
        <v>122</v>
      </c>
      <c r="C79" s="42" t="s">
        <v>42</v>
      </c>
      <c r="D79" s="36" t="s">
        <v>908</v>
      </c>
      <c r="E79" s="37" t="s">
        <v>909</v>
      </c>
      <c r="F79" s="38">
        <v>979990.87</v>
      </c>
      <c r="G79" s="39">
        <v>45126</v>
      </c>
      <c r="H79" s="39">
        <v>45126</v>
      </c>
      <c r="I79" s="39">
        <v>45492</v>
      </c>
      <c r="J79" s="83" t="s">
        <v>30</v>
      </c>
      <c r="K79" s="40" t="s">
        <v>1163</v>
      </c>
      <c r="L79" s="41" t="s">
        <v>35</v>
      </c>
      <c r="M79" s="35" t="s">
        <v>33</v>
      </c>
    </row>
    <row r="80" spans="1:13" ht="96" customHeight="1">
      <c r="A80" s="96" t="str">
        <f t="shared" si="1"/>
        <v>23EB0053WARRANTY BOND</v>
      </c>
      <c r="B80" s="136">
        <v>51</v>
      </c>
      <c r="C80" s="42" t="s">
        <v>43</v>
      </c>
      <c r="D80" s="36" t="s">
        <v>775</v>
      </c>
      <c r="E80" s="37" t="s">
        <v>776</v>
      </c>
      <c r="F80" s="38">
        <v>1484765</v>
      </c>
      <c r="G80" s="39">
        <v>45115</v>
      </c>
      <c r="H80" s="39">
        <v>45114</v>
      </c>
      <c r="I80" s="39">
        <v>45845</v>
      </c>
      <c r="J80" s="83" t="s">
        <v>27</v>
      </c>
      <c r="K80" s="40" t="s">
        <v>1164</v>
      </c>
      <c r="L80" s="41" t="s">
        <v>35</v>
      </c>
      <c r="M80" s="35" t="s">
        <v>37</v>
      </c>
    </row>
    <row r="81" spans="1:13" ht="96" customHeight="1">
      <c r="A81" s="96" t="str">
        <f t="shared" si="1"/>
        <v>23EB0042WARRANTY BOND</v>
      </c>
      <c r="B81" s="136">
        <v>53</v>
      </c>
      <c r="C81" s="42" t="s">
        <v>43</v>
      </c>
      <c r="D81" s="36" t="s">
        <v>779</v>
      </c>
      <c r="E81" s="37" t="s">
        <v>780</v>
      </c>
      <c r="F81" s="38">
        <v>2938996</v>
      </c>
      <c r="G81" s="39">
        <v>45061</v>
      </c>
      <c r="H81" s="39">
        <v>45060</v>
      </c>
      <c r="I81" s="39">
        <v>45791</v>
      </c>
      <c r="J81" s="83" t="s">
        <v>27</v>
      </c>
      <c r="K81" s="40" t="s">
        <v>1165</v>
      </c>
      <c r="L81" s="41" t="s">
        <v>35</v>
      </c>
      <c r="M81" s="35" t="s">
        <v>37</v>
      </c>
    </row>
    <row r="82" spans="1:13" ht="96" customHeight="1">
      <c r="A82" s="96" t="str">
        <f t="shared" si="1"/>
        <v>23EB0027WARRANTY BOND</v>
      </c>
      <c r="B82" s="136">
        <v>101</v>
      </c>
      <c r="C82" s="42" t="s">
        <v>440</v>
      </c>
      <c r="D82" s="36" t="s">
        <v>876</v>
      </c>
      <c r="E82" s="37" t="s">
        <v>877</v>
      </c>
      <c r="F82" s="38">
        <v>13523841</v>
      </c>
      <c r="G82" s="39">
        <v>45093</v>
      </c>
      <c r="H82" s="39">
        <v>45092</v>
      </c>
      <c r="I82" s="39">
        <v>45823</v>
      </c>
      <c r="J82" s="83" t="s">
        <v>27</v>
      </c>
      <c r="K82" s="40" t="s">
        <v>1166</v>
      </c>
      <c r="L82" s="41" t="s">
        <v>35</v>
      </c>
      <c r="M82" s="35" t="s">
        <v>37</v>
      </c>
    </row>
    <row r="83" spans="1:13" ht="82.5" customHeight="1">
      <c r="A83" s="96" t="str">
        <f t="shared" si="1"/>
        <v>23EB0068RETENTION BOND</v>
      </c>
      <c r="B83" s="136">
        <v>117</v>
      </c>
      <c r="C83" s="42" t="s">
        <v>895</v>
      </c>
      <c r="D83" s="36" t="s">
        <v>896</v>
      </c>
      <c r="E83" s="37" t="s">
        <v>897</v>
      </c>
      <c r="F83" s="38">
        <v>494914.46</v>
      </c>
      <c r="G83" s="39">
        <v>45125</v>
      </c>
      <c r="H83" s="39">
        <v>45124</v>
      </c>
      <c r="I83" s="39">
        <v>45490</v>
      </c>
      <c r="J83" s="83" t="s">
        <v>30</v>
      </c>
      <c r="K83" s="40" t="s">
        <v>1167</v>
      </c>
      <c r="L83" s="41" t="s">
        <v>35</v>
      </c>
      <c r="M83" s="35" t="s">
        <v>33</v>
      </c>
    </row>
    <row r="84" spans="1:13" ht="82.5" customHeight="1">
      <c r="A84" s="96" t="str">
        <f t="shared" si="1"/>
        <v>23EB0068WARRANTY BOND</v>
      </c>
      <c r="B84" s="136">
        <v>117</v>
      </c>
      <c r="C84" s="42" t="s">
        <v>895</v>
      </c>
      <c r="D84" s="36" t="s">
        <v>896</v>
      </c>
      <c r="E84" s="37" t="s">
        <v>897</v>
      </c>
      <c r="F84" s="38">
        <v>1484743.38</v>
      </c>
      <c r="G84" s="39">
        <v>45116</v>
      </c>
      <c r="H84" s="39">
        <v>45117</v>
      </c>
      <c r="I84" s="39">
        <v>45483</v>
      </c>
      <c r="J84" s="83" t="s">
        <v>27</v>
      </c>
      <c r="K84" s="40" t="s">
        <v>1168</v>
      </c>
      <c r="L84" s="41" t="s">
        <v>35</v>
      </c>
      <c r="M84" s="35" t="s">
        <v>37</v>
      </c>
    </row>
    <row r="85" spans="1:13" ht="126" customHeight="1">
      <c r="A85" s="96" t="str">
        <f t="shared" si="1"/>
        <v>23EB0026WARRANTY BOND</v>
      </c>
      <c r="B85" s="136">
        <v>142</v>
      </c>
      <c r="C85" s="42" t="s">
        <v>36</v>
      </c>
      <c r="D85" s="36" t="s">
        <v>944</v>
      </c>
      <c r="E85" s="37" t="s">
        <v>945</v>
      </c>
      <c r="F85" s="38">
        <v>13454504.34</v>
      </c>
      <c r="G85" s="39">
        <v>45126</v>
      </c>
      <c r="H85" s="39">
        <v>45122</v>
      </c>
      <c r="I85" s="39">
        <v>45853</v>
      </c>
      <c r="J85" s="83" t="s">
        <v>30</v>
      </c>
      <c r="K85" s="40" t="s">
        <v>1169</v>
      </c>
      <c r="L85" s="41" t="s">
        <v>35</v>
      </c>
      <c r="M85" s="35" t="s">
        <v>37</v>
      </c>
    </row>
    <row r="86" spans="1:13" s="43" customFormat="1" ht="102" customHeight="1">
      <c r="A86" s="96" t="str">
        <f t="shared" si="1"/>
        <v>23EB0089WARRANTY BOND</v>
      </c>
      <c r="B86" s="136">
        <v>19</v>
      </c>
      <c r="C86" s="42" t="s">
        <v>38</v>
      </c>
      <c r="D86" s="36" t="s">
        <v>1077</v>
      </c>
      <c r="E86" s="37" t="s">
        <v>1078</v>
      </c>
      <c r="F86" s="38">
        <v>6342482.5300000003</v>
      </c>
      <c r="G86" s="39">
        <v>45103</v>
      </c>
      <c r="H86" s="39">
        <v>45103</v>
      </c>
      <c r="I86" s="39">
        <v>45469</v>
      </c>
      <c r="J86" s="113" t="s">
        <v>30</v>
      </c>
      <c r="K86" s="40" t="s">
        <v>1170</v>
      </c>
      <c r="L86" s="41" t="s">
        <v>1080</v>
      </c>
      <c r="M86" s="35" t="s">
        <v>37</v>
      </c>
    </row>
    <row r="87" spans="1:13" ht="96" customHeight="1">
      <c r="A87" s="96" t="str">
        <f t="shared" si="1"/>
        <v>23EB0030WARRANTY BOND</v>
      </c>
      <c r="B87" s="136">
        <v>75</v>
      </c>
      <c r="C87" s="42" t="s">
        <v>36</v>
      </c>
      <c r="D87" s="36" t="s">
        <v>978</v>
      </c>
      <c r="E87" s="37" t="s">
        <v>979</v>
      </c>
      <c r="F87" s="38">
        <v>13523806.57</v>
      </c>
      <c r="G87" s="39">
        <v>45124</v>
      </c>
      <c r="H87" s="39">
        <v>45124</v>
      </c>
      <c r="I87" s="39">
        <v>45855</v>
      </c>
      <c r="J87" s="83" t="s">
        <v>27</v>
      </c>
      <c r="K87" s="40" t="s">
        <v>1171</v>
      </c>
      <c r="L87" s="41" t="s">
        <v>69</v>
      </c>
      <c r="M87" s="35" t="s">
        <v>37</v>
      </c>
    </row>
    <row r="88" spans="1:13" ht="96" customHeight="1">
      <c r="A88" s="96" t="str">
        <f t="shared" si="1"/>
        <v>23EB0093WARRANTY BOND</v>
      </c>
      <c r="B88" s="136">
        <v>75</v>
      </c>
      <c r="C88" s="42" t="s">
        <v>560</v>
      </c>
      <c r="D88" s="36" t="s">
        <v>1172</v>
      </c>
      <c r="E88" s="37" t="s">
        <v>1173</v>
      </c>
      <c r="F88" s="38">
        <v>155161.15</v>
      </c>
      <c r="G88" s="39">
        <v>45078</v>
      </c>
      <c r="H88" s="39">
        <v>45078</v>
      </c>
      <c r="I88" s="39">
        <v>45809</v>
      </c>
      <c r="J88" s="83" t="s">
        <v>27</v>
      </c>
      <c r="K88" s="40" t="s">
        <v>1174</v>
      </c>
      <c r="L88" s="41" t="s">
        <v>69</v>
      </c>
      <c r="M88" s="35" t="s">
        <v>37</v>
      </c>
    </row>
    <row r="89" spans="1:13" ht="96" customHeight="1">
      <c r="A89" s="96" t="str">
        <f t="shared" si="1"/>
        <v>23EB0031WARRANTY BOND</v>
      </c>
      <c r="B89" s="136">
        <v>75</v>
      </c>
      <c r="C89" s="42" t="s">
        <v>36</v>
      </c>
      <c r="D89" s="36" t="s">
        <v>986</v>
      </c>
      <c r="E89" s="37" t="s">
        <v>987</v>
      </c>
      <c r="F89" s="38">
        <v>13523931.140000001</v>
      </c>
      <c r="G89" s="39">
        <v>45124</v>
      </c>
      <c r="H89" s="39">
        <v>45124</v>
      </c>
      <c r="I89" s="39">
        <v>45855</v>
      </c>
      <c r="J89" s="83" t="s">
        <v>27</v>
      </c>
      <c r="K89" s="40" t="s">
        <v>1175</v>
      </c>
      <c r="L89" s="41" t="s">
        <v>69</v>
      </c>
      <c r="M89" s="35" t="s">
        <v>37</v>
      </c>
    </row>
    <row r="90" spans="1:13" ht="109.5" customHeight="1">
      <c r="A90" s="96" t="str">
        <f t="shared" si="1"/>
        <v>23EB0097PERFORMANCE BOND</v>
      </c>
      <c r="B90" s="136">
        <v>78</v>
      </c>
      <c r="C90" s="42" t="s">
        <v>1176</v>
      </c>
      <c r="D90" s="36" t="s">
        <v>1177</v>
      </c>
      <c r="E90" s="37" t="s">
        <v>1178</v>
      </c>
      <c r="F90" s="38">
        <v>1348384.44</v>
      </c>
      <c r="G90" s="39">
        <v>45142</v>
      </c>
      <c r="H90" s="39">
        <v>45142</v>
      </c>
      <c r="I90" s="39">
        <v>45873</v>
      </c>
      <c r="J90" s="83" t="s">
        <v>27</v>
      </c>
      <c r="K90" s="40" t="s">
        <v>1179</v>
      </c>
      <c r="L90" s="41" t="s">
        <v>35</v>
      </c>
      <c r="M90" s="35" t="s">
        <v>40</v>
      </c>
    </row>
    <row r="91" spans="1:13" ht="109.5" customHeight="1">
      <c r="A91" s="96" t="str">
        <f t="shared" si="1"/>
        <v>23EB0097CONTRACTOR'S ALL RISK POLICY</v>
      </c>
      <c r="B91" s="136">
        <v>78</v>
      </c>
      <c r="C91" s="42" t="s">
        <v>1176</v>
      </c>
      <c r="D91" s="36" t="s">
        <v>1177</v>
      </c>
      <c r="E91" s="37" t="s">
        <v>1178</v>
      </c>
      <c r="F91" s="38">
        <v>4494614.8099999996</v>
      </c>
      <c r="G91" s="39">
        <v>45142</v>
      </c>
      <c r="H91" s="39">
        <v>45142</v>
      </c>
      <c r="I91" s="39">
        <v>45508</v>
      </c>
      <c r="J91" s="83" t="s">
        <v>30</v>
      </c>
      <c r="K91" s="40" t="s">
        <v>1180</v>
      </c>
      <c r="L91" s="41" t="s">
        <v>35</v>
      </c>
      <c r="M91" s="35" t="s">
        <v>31</v>
      </c>
    </row>
    <row r="92" spans="1:13" ht="109.5" customHeight="1">
      <c r="A92" s="96" t="str">
        <f t="shared" si="1"/>
        <v>23EB0080RETENTION BOND</v>
      </c>
      <c r="B92" s="136">
        <v>78</v>
      </c>
      <c r="C92" s="42" t="s">
        <v>43</v>
      </c>
      <c r="D92" s="36" t="s">
        <v>1181</v>
      </c>
      <c r="E92" s="37" t="s">
        <v>1182</v>
      </c>
      <c r="F92" s="38">
        <v>481725.68</v>
      </c>
      <c r="G92" s="39">
        <v>45135</v>
      </c>
      <c r="H92" s="39">
        <v>45135</v>
      </c>
      <c r="I92" s="39">
        <v>45501</v>
      </c>
      <c r="J92" s="83" t="s">
        <v>30</v>
      </c>
      <c r="K92" s="40" t="s">
        <v>1183</v>
      </c>
      <c r="L92" s="41" t="s">
        <v>35</v>
      </c>
      <c r="M92" s="35" t="s">
        <v>33</v>
      </c>
    </row>
    <row r="93" spans="1:13" ht="96" customHeight="1">
      <c r="A93" s="96" t="str">
        <f t="shared" si="1"/>
        <v>23EB0040WARRANTY BOND</v>
      </c>
      <c r="B93" s="136">
        <v>49</v>
      </c>
      <c r="C93" s="42" t="s">
        <v>655</v>
      </c>
      <c r="D93" s="36" t="s">
        <v>771</v>
      </c>
      <c r="E93" s="37" t="s">
        <v>772</v>
      </c>
      <c r="F93" s="38">
        <v>2938499.93</v>
      </c>
      <c r="G93" s="39">
        <v>45075</v>
      </c>
      <c r="H93" s="39">
        <v>45075</v>
      </c>
      <c r="I93" s="39">
        <v>45806</v>
      </c>
      <c r="J93" s="83" t="s">
        <v>27</v>
      </c>
      <c r="K93" s="40" t="s">
        <v>1184</v>
      </c>
      <c r="L93" s="41" t="s">
        <v>32</v>
      </c>
      <c r="M93" s="35" t="s">
        <v>37</v>
      </c>
    </row>
    <row r="94" spans="1:13" ht="96" customHeight="1">
      <c r="A94" s="96" t="str">
        <f t="shared" si="1"/>
        <v>23EB0040RETENTION BOND</v>
      </c>
      <c r="B94" s="136">
        <v>49</v>
      </c>
      <c r="C94" s="42" t="s">
        <v>655</v>
      </c>
      <c r="D94" s="36" t="s">
        <v>771</v>
      </c>
      <c r="E94" s="37" t="s">
        <v>772</v>
      </c>
      <c r="F94" s="38">
        <v>979500</v>
      </c>
      <c r="G94" s="39">
        <v>45139</v>
      </c>
      <c r="H94" s="39">
        <v>45139</v>
      </c>
      <c r="I94" s="39">
        <v>45505</v>
      </c>
      <c r="J94" s="83" t="s">
        <v>30</v>
      </c>
      <c r="K94" s="40" t="s">
        <v>1185</v>
      </c>
      <c r="L94" s="41" t="s">
        <v>32</v>
      </c>
      <c r="M94" s="35" t="s">
        <v>33</v>
      </c>
    </row>
    <row r="95" spans="1:13" ht="109.5" customHeight="1">
      <c r="A95" s="96" t="str">
        <f t="shared" si="1"/>
        <v>21EB0031WARRANTY BOND</v>
      </c>
      <c r="B95" s="136">
        <v>64</v>
      </c>
      <c r="C95" s="42" t="s">
        <v>1186</v>
      </c>
      <c r="D95" s="36" t="s">
        <v>1187</v>
      </c>
      <c r="E95" s="37" t="s">
        <v>1188</v>
      </c>
      <c r="F95" s="38">
        <v>14279002.5</v>
      </c>
      <c r="G95" s="39">
        <v>45104</v>
      </c>
      <c r="H95" s="39">
        <v>45103</v>
      </c>
      <c r="I95" s="39">
        <v>45469</v>
      </c>
      <c r="J95" s="83" t="s">
        <v>30</v>
      </c>
      <c r="K95" s="40" t="s">
        <v>1189</v>
      </c>
      <c r="L95" s="41" t="s">
        <v>35</v>
      </c>
      <c r="M95" s="35" t="s">
        <v>37</v>
      </c>
    </row>
    <row r="96" spans="1:13" ht="109.5" customHeight="1">
      <c r="A96" s="96" t="str">
        <f t="shared" si="1"/>
        <v>23EB0100ADVANCE PAYMENT BOND</v>
      </c>
      <c r="B96" s="136">
        <v>78</v>
      </c>
      <c r="C96" s="42" t="s">
        <v>44</v>
      </c>
      <c r="D96" s="36" t="s">
        <v>1192</v>
      </c>
      <c r="E96" s="37" t="s">
        <v>1193</v>
      </c>
      <c r="F96" s="38">
        <v>218106.07</v>
      </c>
      <c r="G96" s="39">
        <v>45173</v>
      </c>
      <c r="H96" s="39">
        <v>45173</v>
      </c>
      <c r="I96" s="39">
        <v>45539</v>
      </c>
      <c r="J96" s="83" t="s">
        <v>30</v>
      </c>
      <c r="K96" s="40" t="s">
        <v>1194</v>
      </c>
      <c r="L96" s="41" t="s">
        <v>35</v>
      </c>
      <c r="M96" s="35" t="s">
        <v>34</v>
      </c>
    </row>
    <row r="97" spans="1:13" ht="109.5" customHeight="1">
      <c r="A97" s="96" t="str">
        <f t="shared" si="1"/>
        <v>23EB0100PERFORMANCE BOND</v>
      </c>
      <c r="B97" s="136">
        <v>78</v>
      </c>
      <c r="C97" s="42" t="s">
        <v>44</v>
      </c>
      <c r="D97" s="36" t="s">
        <v>1192</v>
      </c>
      <c r="E97" s="37" t="s">
        <v>1193</v>
      </c>
      <c r="F97" s="38">
        <v>556212.14</v>
      </c>
      <c r="G97" s="39">
        <v>45160</v>
      </c>
      <c r="H97" s="39">
        <v>45160</v>
      </c>
      <c r="I97" s="39">
        <v>45891</v>
      </c>
      <c r="J97" s="83" t="s">
        <v>27</v>
      </c>
      <c r="K97" s="40" t="s">
        <v>1195</v>
      </c>
      <c r="L97" s="41" t="s">
        <v>35</v>
      </c>
      <c r="M97" s="35" t="s">
        <v>40</v>
      </c>
    </row>
    <row r="98" spans="1:13" ht="109.5" customHeight="1">
      <c r="A98" s="96" t="str">
        <f t="shared" si="1"/>
        <v>23EB0100CONTRACTOR'S ALL RISK POLICY</v>
      </c>
      <c r="B98" s="136">
        <v>78</v>
      </c>
      <c r="C98" s="42" t="s">
        <v>44</v>
      </c>
      <c r="D98" s="36" t="s">
        <v>1192</v>
      </c>
      <c r="E98" s="37" t="s">
        <v>1193</v>
      </c>
      <c r="F98" s="38">
        <v>1854040.46</v>
      </c>
      <c r="G98" s="39">
        <v>45160</v>
      </c>
      <c r="H98" s="39">
        <v>45160</v>
      </c>
      <c r="I98" s="39">
        <v>45526</v>
      </c>
      <c r="J98" s="83" t="s">
        <v>30</v>
      </c>
      <c r="K98" s="40" t="s">
        <v>1196</v>
      </c>
      <c r="L98" s="41" t="s">
        <v>35</v>
      </c>
      <c r="M98" s="35" t="s">
        <v>31</v>
      </c>
    </row>
    <row r="99" spans="1:13" ht="109.5" customHeight="1">
      <c r="A99" s="96" t="str">
        <f t="shared" si="1"/>
        <v>23EB0101CONTRACTOR'S ALL RISK POLICY</v>
      </c>
      <c r="B99" s="136">
        <v>78</v>
      </c>
      <c r="C99" s="42" t="s">
        <v>44</v>
      </c>
      <c r="D99" s="36" t="s">
        <v>1197</v>
      </c>
      <c r="E99" s="37" t="s">
        <v>1198</v>
      </c>
      <c r="F99" s="38">
        <v>2138652.0299999998</v>
      </c>
      <c r="G99" s="39">
        <v>45160</v>
      </c>
      <c r="H99" s="39">
        <v>45160</v>
      </c>
      <c r="I99" s="39">
        <v>45526</v>
      </c>
      <c r="J99" s="83" t="s">
        <v>30</v>
      </c>
      <c r="K99" s="40" t="s">
        <v>1199</v>
      </c>
      <c r="L99" s="41" t="s">
        <v>35</v>
      </c>
      <c r="M99" s="35" t="s">
        <v>31</v>
      </c>
    </row>
    <row r="100" spans="1:13" ht="109.5" customHeight="1">
      <c r="A100" s="96" t="str">
        <f t="shared" si="1"/>
        <v>23EB0101PERFORMANCE BOND</v>
      </c>
      <c r="B100" s="136">
        <v>78</v>
      </c>
      <c r="C100" s="42" t="s">
        <v>44</v>
      </c>
      <c r="D100" s="36" t="s">
        <v>1197</v>
      </c>
      <c r="E100" s="37" t="s">
        <v>1198</v>
      </c>
      <c r="F100" s="38">
        <v>641595.61</v>
      </c>
      <c r="G100" s="39">
        <v>45160</v>
      </c>
      <c r="H100" s="39">
        <v>45160</v>
      </c>
      <c r="I100" s="39">
        <v>45891</v>
      </c>
      <c r="J100" s="83" t="s">
        <v>27</v>
      </c>
      <c r="K100" s="40" t="s">
        <v>1200</v>
      </c>
      <c r="L100" s="41" t="s">
        <v>35</v>
      </c>
      <c r="M100" s="35" t="s">
        <v>40</v>
      </c>
    </row>
    <row r="101" spans="1:13" ht="109.5" customHeight="1">
      <c r="A101" s="96" t="str">
        <f t="shared" si="1"/>
        <v>23EB0101ADVANCE PAYMENT BOND</v>
      </c>
      <c r="B101" s="136">
        <v>78</v>
      </c>
      <c r="C101" s="42" t="s">
        <v>44</v>
      </c>
      <c r="D101" s="36" t="s">
        <v>1197</v>
      </c>
      <c r="E101" s="37" t="s">
        <v>1198</v>
      </c>
      <c r="F101" s="38">
        <v>320797.8</v>
      </c>
      <c r="G101" s="39">
        <v>45173</v>
      </c>
      <c r="H101" s="39">
        <v>45173</v>
      </c>
      <c r="I101" s="39">
        <v>45539</v>
      </c>
      <c r="J101" s="83" t="s">
        <v>30</v>
      </c>
      <c r="K101" s="40" t="s">
        <v>1201</v>
      </c>
      <c r="L101" s="41" t="s">
        <v>35</v>
      </c>
      <c r="M101" s="35" t="s">
        <v>34</v>
      </c>
    </row>
    <row r="102" spans="1:13" ht="109.5" customHeight="1">
      <c r="A102" s="96" t="str">
        <f t="shared" si="1"/>
        <v>23EB0097ADVANCE PAYMENT BOND</v>
      </c>
      <c r="B102" s="136">
        <v>78</v>
      </c>
      <c r="C102" s="42" t="s">
        <v>1176</v>
      </c>
      <c r="D102" s="36" t="s">
        <v>1177</v>
      </c>
      <c r="E102" s="37" t="s">
        <v>1178</v>
      </c>
      <c r="F102" s="38">
        <v>674192.22</v>
      </c>
      <c r="G102" s="39">
        <v>45160</v>
      </c>
      <c r="H102" s="39">
        <v>45156</v>
      </c>
      <c r="I102" s="39">
        <v>45522</v>
      </c>
      <c r="J102" s="83" t="s">
        <v>30</v>
      </c>
      <c r="K102" s="40" t="s">
        <v>1202</v>
      </c>
      <c r="L102" s="41" t="s">
        <v>35</v>
      </c>
      <c r="M102" s="35" t="s">
        <v>34</v>
      </c>
    </row>
    <row r="103" spans="1:13" ht="109.5" customHeight="1">
      <c r="A103" s="96" t="str">
        <f t="shared" si="1"/>
        <v>22EB0096RETENTION BOND</v>
      </c>
      <c r="B103" s="136">
        <v>91</v>
      </c>
      <c r="C103" s="42" t="s">
        <v>971</v>
      </c>
      <c r="D103" s="36" t="s">
        <v>322</v>
      </c>
      <c r="E103" s="37" t="s">
        <v>1203</v>
      </c>
      <c r="F103" s="38">
        <v>4610003.6100000003</v>
      </c>
      <c r="G103" s="39">
        <v>45156</v>
      </c>
      <c r="H103" s="39">
        <v>45155</v>
      </c>
      <c r="I103" s="39">
        <v>45521</v>
      </c>
      <c r="J103" s="83" t="s">
        <v>30</v>
      </c>
      <c r="K103" s="40" t="s">
        <v>1204</v>
      </c>
      <c r="L103" s="41" t="s">
        <v>35</v>
      </c>
      <c r="M103" s="35" t="s">
        <v>33</v>
      </c>
    </row>
    <row r="104" spans="1:13" ht="109.5" customHeight="1">
      <c r="A104" s="96" t="str">
        <f t="shared" si="1"/>
        <v>22EB0097-R1RETENTION BOND</v>
      </c>
      <c r="B104" s="136">
        <v>91</v>
      </c>
      <c r="C104" s="42" t="s">
        <v>971</v>
      </c>
      <c r="D104" s="36" t="s">
        <v>412</v>
      </c>
      <c r="E104" s="37" t="s">
        <v>1205</v>
      </c>
      <c r="F104" s="38">
        <v>4514115.68</v>
      </c>
      <c r="G104" s="39">
        <v>45156</v>
      </c>
      <c r="H104" s="39">
        <v>45155</v>
      </c>
      <c r="I104" s="39">
        <v>45521</v>
      </c>
      <c r="J104" s="83" t="s">
        <v>30</v>
      </c>
      <c r="K104" s="40" t="s">
        <v>1206</v>
      </c>
      <c r="L104" s="41" t="s">
        <v>35</v>
      </c>
      <c r="M104" s="35" t="s">
        <v>33</v>
      </c>
    </row>
    <row r="105" spans="1:13" ht="109.5" customHeight="1">
      <c r="A105" s="96" t="str">
        <f t="shared" si="1"/>
        <v>22EB0100RETENTION BOND</v>
      </c>
      <c r="B105" s="136">
        <v>91</v>
      </c>
      <c r="C105" s="42" t="s">
        <v>971</v>
      </c>
      <c r="D105" s="36" t="s">
        <v>248</v>
      </c>
      <c r="E105" s="37" t="s">
        <v>249</v>
      </c>
      <c r="F105" s="38">
        <v>4606369.1399999997</v>
      </c>
      <c r="G105" s="39">
        <v>45156</v>
      </c>
      <c r="H105" s="39">
        <v>45155</v>
      </c>
      <c r="I105" s="39">
        <v>45521</v>
      </c>
      <c r="J105" s="83" t="s">
        <v>30</v>
      </c>
      <c r="K105" s="40" t="s">
        <v>1207</v>
      </c>
      <c r="L105" s="41" t="s">
        <v>35</v>
      </c>
      <c r="M105" s="35" t="s">
        <v>33</v>
      </c>
    </row>
    <row r="106" spans="1:13" ht="109.5" customHeight="1">
      <c r="A106" s="96" t="str">
        <f t="shared" si="1"/>
        <v>22EB0026WARRANTY BOND</v>
      </c>
      <c r="B106" s="136">
        <v>91</v>
      </c>
      <c r="C106" s="42" t="s">
        <v>72</v>
      </c>
      <c r="D106" s="36" t="s">
        <v>1208</v>
      </c>
      <c r="E106" s="37" t="s">
        <v>1209</v>
      </c>
      <c r="F106" s="38">
        <v>1041265.07</v>
      </c>
      <c r="G106" s="39">
        <v>45155</v>
      </c>
      <c r="H106" s="39">
        <v>45155</v>
      </c>
      <c r="I106" s="39">
        <v>45521</v>
      </c>
      <c r="J106" s="83" t="s">
        <v>30</v>
      </c>
      <c r="K106" s="40" t="s">
        <v>1210</v>
      </c>
      <c r="L106" s="41" t="s">
        <v>35</v>
      </c>
      <c r="M106" s="35" t="s">
        <v>37</v>
      </c>
    </row>
    <row r="107" spans="1:13" ht="113.25" customHeight="1">
      <c r="A107" s="96" t="str">
        <f t="shared" si="1"/>
        <v>22EB0031RETENTION BOND</v>
      </c>
      <c r="B107" s="136">
        <v>96</v>
      </c>
      <c r="C107" s="42" t="s">
        <v>931</v>
      </c>
      <c r="D107" s="36" t="s">
        <v>355</v>
      </c>
      <c r="E107" s="37" t="s">
        <v>1211</v>
      </c>
      <c r="F107" s="38">
        <v>4507977.05</v>
      </c>
      <c r="G107" s="39">
        <v>45153</v>
      </c>
      <c r="H107" s="39">
        <v>45153</v>
      </c>
      <c r="I107" s="39">
        <v>45519</v>
      </c>
      <c r="J107" s="83" t="s">
        <v>30</v>
      </c>
      <c r="K107" s="40" t="s">
        <v>1212</v>
      </c>
      <c r="L107" s="41" t="s">
        <v>69</v>
      </c>
      <c r="M107" s="35" t="s">
        <v>33</v>
      </c>
    </row>
    <row r="108" spans="1:13" ht="113.25" customHeight="1">
      <c r="A108" s="96" t="str">
        <f t="shared" si="1"/>
        <v>22EB0046WARRANTY BOND</v>
      </c>
      <c r="B108" s="136">
        <v>96</v>
      </c>
      <c r="C108" s="42" t="s">
        <v>758</v>
      </c>
      <c r="D108" s="36" t="s">
        <v>1213</v>
      </c>
      <c r="E108" s="37" t="s">
        <v>1214</v>
      </c>
      <c r="F108" s="38">
        <v>12445221.710000001</v>
      </c>
      <c r="G108" s="39">
        <v>44983</v>
      </c>
      <c r="H108" s="39">
        <v>44983</v>
      </c>
      <c r="I108" s="39">
        <v>45714</v>
      </c>
      <c r="J108" s="83" t="s">
        <v>27</v>
      </c>
      <c r="K108" s="40" t="s">
        <v>1215</v>
      </c>
      <c r="L108" s="41" t="s">
        <v>69</v>
      </c>
      <c r="M108" s="35" t="s">
        <v>37</v>
      </c>
    </row>
    <row r="109" spans="1:13" ht="113.25" customHeight="1">
      <c r="A109" s="96" t="str">
        <f t="shared" si="1"/>
        <v>22EB0046RETENTION BOND</v>
      </c>
      <c r="B109" s="136">
        <v>96</v>
      </c>
      <c r="C109" s="42" t="s">
        <v>758</v>
      </c>
      <c r="D109" s="36" t="s">
        <v>1213</v>
      </c>
      <c r="E109" s="37" t="s">
        <v>1214</v>
      </c>
      <c r="F109" s="38">
        <v>4148407.24</v>
      </c>
      <c r="G109" s="39">
        <v>44991</v>
      </c>
      <c r="H109" s="39">
        <v>44991</v>
      </c>
      <c r="I109" s="39">
        <v>45357</v>
      </c>
      <c r="J109" s="83" t="s">
        <v>30</v>
      </c>
      <c r="K109" s="40" t="s">
        <v>1216</v>
      </c>
      <c r="L109" s="41" t="s">
        <v>69</v>
      </c>
      <c r="M109" s="35" t="s">
        <v>33</v>
      </c>
    </row>
    <row r="110" spans="1:13" ht="109.5" customHeight="1">
      <c r="A110" s="96" t="str">
        <f t="shared" ref="A110:A115" si="3">D110&amp;M110</f>
        <v>23EB0030RETENTION BOND</v>
      </c>
      <c r="B110" s="136">
        <v>91</v>
      </c>
      <c r="C110" s="42" t="s">
        <v>931</v>
      </c>
      <c r="D110" s="36" t="s">
        <v>978</v>
      </c>
      <c r="E110" s="37" t="s">
        <v>1217</v>
      </c>
      <c r="F110" s="38">
        <v>4507935.5199999996</v>
      </c>
      <c r="G110" s="39">
        <v>45153</v>
      </c>
      <c r="H110" s="39">
        <v>45153</v>
      </c>
      <c r="I110" s="39">
        <v>45519</v>
      </c>
      <c r="J110" s="83" t="s">
        <v>30</v>
      </c>
      <c r="K110" s="40" t="s">
        <v>1218</v>
      </c>
      <c r="L110" s="41" t="s">
        <v>69</v>
      </c>
      <c r="M110" s="35" t="s">
        <v>33</v>
      </c>
    </row>
    <row r="111" spans="1:13" ht="109.5" customHeight="1">
      <c r="A111" s="96" t="str">
        <f t="shared" si="3"/>
        <v>23EB0093RETENTION BOND</v>
      </c>
      <c r="B111" s="136">
        <v>91</v>
      </c>
      <c r="C111" s="42" t="s">
        <v>560</v>
      </c>
      <c r="D111" s="36" t="s">
        <v>1172</v>
      </c>
      <c r="E111" s="37" t="s">
        <v>1173</v>
      </c>
      <c r="F111" s="38">
        <v>51720.38</v>
      </c>
      <c r="G111" s="39">
        <v>45153</v>
      </c>
      <c r="H111" s="39">
        <v>45153</v>
      </c>
      <c r="I111" s="39">
        <v>45519</v>
      </c>
      <c r="J111" s="83" t="s">
        <v>30</v>
      </c>
      <c r="K111" s="40" t="s">
        <v>1219</v>
      </c>
      <c r="L111" s="41" t="s">
        <v>69</v>
      </c>
      <c r="M111" s="35" t="s">
        <v>33</v>
      </c>
    </row>
    <row r="112" spans="1:13" ht="109.5" customHeight="1">
      <c r="A112" s="96" t="str">
        <f t="shared" si="3"/>
        <v>23EB0059-R2RETENTION BOND</v>
      </c>
      <c r="B112" s="136">
        <v>102</v>
      </c>
      <c r="C112" s="42" t="s">
        <v>1098</v>
      </c>
      <c r="D112" s="36" t="s">
        <v>1099</v>
      </c>
      <c r="E112" s="37" t="s">
        <v>1221</v>
      </c>
      <c r="F112" s="38">
        <v>494927.68</v>
      </c>
      <c r="G112" s="39">
        <v>45175</v>
      </c>
      <c r="H112" s="39">
        <v>45175</v>
      </c>
      <c r="I112" s="39">
        <v>45541</v>
      </c>
      <c r="J112" s="83" t="s">
        <v>30</v>
      </c>
      <c r="K112" s="40" t="s">
        <v>1222</v>
      </c>
      <c r="L112" s="41" t="s">
        <v>35</v>
      </c>
      <c r="M112" s="35" t="s">
        <v>33</v>
      </c>
    </row>
    <row r="113" spans="1:13" ht="109.5" customHeight="1">
      <c r="A113" s="96" t="str">
        <f t="shared" si="3"/>
        <v>23EB0059-R2WARRANTY BOND</v>
      </c>
      <c r="B113" s="136">
        <v>102</v>
      </c>
      <c r="C113" s="42" t="s">
        <v>1098</v>
      </c>
      <c r="D113" s="36" t="s">
        <v>1099</v>
      </c>
      <c r="E113" s="37" t="s">
        <v>1221</v>
      </c>
      <c r="F113" s="38">
        <v>1484783.05</v>
      </c>
      <c r="G113" s="39">
        <v>45170</v>
      </c>
      <c r="H113" s="39">
        <v>45170</v>
      </c>
      <c r="I113" s="39">
        <v>45901</v>
      </c>
      <c r="J113" s="83" t="s">
        <v>27</v>
      </c>
      <c r="K113" s="40" t="s">
        <v>1223</v>
      </c>
      <c r="L113" s="41" t="s">
        <v>35</v>
      </c>
      <c r="M113" s="35" t="s">
        <v>37</v>
      </c>
    </row>
    <row r="114" spans="1:13" ht="109.5" customHeight="1">
      <c r="A114" s="96" t="str">
        <f t="shared" si="3"/>
        <v>23EB0055RETENTION BOND</v>
      </c>
      <c r="B114" s="136">
        <v>102</v>
      </c>
      <c r="C114" s="42" t="s">
        <v>1224</v>
      </c>
      <c r="D114" s="36" t="s">
        <v>1036</v>
      </c>
      <c r="E114" s="37" t="s">
        <v>1225</v>
      </c>
      <c r="F114" s="38">
        <v>692903.4</v>
      </c>
      <c r="G114" s="39">
        <v>45174</v>
      </c>
      <c r="H114" s="39">
        <v>45174</v>
      </c>
      <c r="I114" s="39">
        <v>45540</v>
      </c>
      <c r="J114" s="83" t="s">
        <v>30</v>
      </c>
      <c r="K114" s="40" t="s">
        <v>1226</v>
      </c>
      <c r="L114" s="41" t="s">
        <v>35</v>
      </c>
      <c r="M114" s="35" t="s">
        <v>33</v>
      </c>
    </row>
    <row r="115" spans="1:13" ht="109.5" customHeight="1">
      <c r="A115" s="96" t="str">
        <f t="shared" si="3"/>
        <v>23EB0055WARRANTY BOND</v>
      </c>
      <c r="B115" s="136">
        <v>102</v>
      </c>
      <c r="C115" s="42" t="s">
        <v>1224</v>
      </c>
      <c r="D115" s="36" t="s">
        <v>1036</v>
      </c>
      <c r="E115" s="37" t="s">
        <v>1225</v>
      </c>
      <c r="F115" s="38">
        <v>2078710.2</v>
      </c>
      <c r="G115" s="39">
        <v>45163</v>
      </c>
      <c r="H115" s="39">
        <v>45163</v>
      </c>
      <c r="I115" s="39">
        <v>45894</v>
      </c>
      <c r="J115" s="83" t="s">
        <v>27</v>
      </c>
      <c r="K115" s="40" t="s">
        <v>1227</v>
      </c>
      <c r="L115" s="41" t="s">
        <v>35</v>
      </c>
      <c r="M115" s="35" t="s">
        <v>37</v>
      </c>
    </row>
    <row r="116" spans="1:13" ht="109.5" customHeight="1">
      <c r="A116" s="96" t="str">
        <f>D116&amp;M116</f>
        <v>23EB0038WARRANTY BOND</v>
      </c>
      <c r="B116" s="136">
        <v>91</v>
      </c>
      <c r="C116" s="42" t="s">
        <v>1228</v>
      </c>
      <c r="D116" s="36" t="s">
        <v>801</v>
      </c>
      <c r="E116" s="37" t="s">
        <v>1229</v>
      </c>
      <c r="F116" s="38">
        <v>14763961.41</v>
      </c>
      <c r="G116" s="39">
        <v>45125</v>
      </c>
      <c r="H116" s="39">
        <v>45125</v>
      </c>
      <c r="I116" s="39">
        <v>45856</v>
      </c>
      <c r="J116" s="83" t="s">
        <v>27</v>
      </c>
      <c r="K116" s="40" t="s">
        <v>1230</v>
      </c>
      <c r="L116" s="41" t="s">
        <v>69</v>
      </c>
      <c r="M116" s="35" t="s">
        <v>37</v>
      </c>
    </row>
    <row r="117" spans="1:13" ht="109.5" customHeight="1">
      <c r="A117" s="96" t="str">
        <f>D117&amp;M117</f>
        <v>23EB0038RETENTION BOND</v>
      </c>
      <c r="B117" s="136">
        <v>91</v>
      </c>
      <c r="C117" s="42" t="s">
        <v>1228</v>
      </c>
      <c r="D117" s="36" t="s">
        <v>801</v>
      </c>
      <c r="E117" s="37" t="s">
        <v>1229</v>
      </c>
      <c r="F117" s="38">
        <v>4921320.47</v>
      </c>
      <c r="G117" s="39">
        <v>45153</v>
      </c>
      <c r="H117" s="39">
        <v>45153</v>
      </c>
      <c r="I117" s="39">
        <v>45519</v>
      </c>
      <c r="J117" s="83" t="s">
        <v>30</v>
      </c>
      <c r="K117" s="40" t="s">
        <v>1231</v>
      </c>
      <c r="L117" s="41" t="s">
        <v>69</v>
      </c>
      <c r="M117" s="35" t="s">
        <v>33</v>
      </c>
    </row>
    <row r="118" spans="1:13" ht="96" customHeight="1">
      <c r="A118" s="96" t="str">
        <f t="shared" ref="A118:A152" si="4">D118&amp;M118</f>
        <v>22EB0040RETENTION BOND</v>
      </c>
      <c r="B118" s="136">
        <v>101</v>
      </c>
      <c r="C118" s="42" t="s">
        <v>758</v>
      </c>
      <c r="D118" s="36" t="s">
        <v>1232</v>
      </c>
      <c r="E118" s="37" t="s">
        <v>1233</v>
      </c>
      <c r="F118" s="38">
        <v>4842063.01</v>
      </c>
      <c r="G118" s="39">
        <v>45153</v>
      </c>
      <c r="H118" s="39">
        <v>45153</v>
      </c>
      <c r="I118" s="39">
        <v>45519</v>
      </c>
      <c r="J118" s="83" t="s">
        <v>30</v>
      </c>
      <c r="K118" s="40" t="s">
        <v>1234</v>
      </c>
      <c r="L118" s="41" t="s">
        <v>69</v>
      </c>
      <c r="M118" s="35" t="s">
        <v>33</v>
      </c>
    </row>
    <row r="119" spans="1:13" ht="109.5" customHeight="1">
      <c r="A119" s="96" t="str">
        <f t="shared" si="4"/>
        <v>22EB0097-R1WARRANTY BOND</v>
      </c>
      <c r="B119" s="136">
        <v>91</v>
      </c>
      <c r="C119" s="42" t="s">
        <v>971</v>
      </c>
      <c r="D119" s="36" t="s">
        <v>412</v>
      </c>
      <c r="E119" s="37" t="s">
        <v>1205</v>
      </c>
      <c r="F119" s="38">
        <v>13542347.029999999</v>
      </c>
      <c r="G119" s="39">
        <v>45033</v>
      </c>
      <c r="H119" s="39">
        <v>45033</v>
      </c>
      <c r="I119" s="39">
        <v>45731</v>
      </c>
      <c r="J119" s="83" t="s">
        <v>27</v>
      </c>
      <c r="K119" s="40" t="s">
        <v>1220</v>
      </c>
      <c r="L119" s="41" t="s">
        <v>35</v>
      </c>
      <c r="M119" s="35" t="s">
        <v>37</v>
      </c>
    </row>
    <row r="120" spans="1:13" ht="113.25" customHeight="1">
      <c r="A120" s="96" t="str">
        <f t="shared" si="4"/>
        <v>23EB0057RETENTION BOND</v>
      </c>
      <c r="B120" s="136">
        <v>97</v>
      </c>
      <c r="C120" s="42" t="s">
        <v>36</v>
      </c>
      <c r="D120" s="36" t="s">
        <v>958</v>
      </c>
      <c r="E120" s="37" t="s">
        <v>959</v>
      </c>
      <c r="F120" s="38">
        <v>494778.63</v>
      </c>
      <c r="G120" s="39">
        <v>45235</v>
      </c>
      <c r="H120" s="39">
        <v>45235</v>
      </c>
      <c r="I120" s="39">
        <v>45601</v>
      </c>
      <c r="J120" s="83" t="s">
        <v>30</v>
      </c>
      <c r="K120" s="40" t="s">
        <v>1234</v>
      </c>
      <c r="L120" s="41" t="s">
        <v>32</v>
      </c>
      <c r="M120" s="35" t="s">
        <v>33</v>
      </c>
    </row>
    <row r="121" spans="1:13" ht="109.5" customHeight="1">
      <c r="A121" s="96" t="str">
        <f t="shared" si="4"/>
        <v>22EB0100WARRANTY BOND</v>
      </c>
      <c r="B121" s="136">
        <v>91</v>
      </c>
      <c r="C121" s="42" t="s">
        <v>971</v>
      </c>
      <c r="D121" s="36" t="s">
        <v>248</v>
      </c>
      <c r="E121" s="37" t="s">
        <v>249</v>
      </c>
      <c r="F121" s="38">
        <v>13819107.41</v>
      </c>
      <c r="G121" s="39">
        <v>45156</v>
      </c>
      <c r="H121" s="39">
        <v>45155</v>
      </c>
      <c r="I121" s="39">
        <v>45716</v>
      </c>
      <c r="J121" s="83"/>
      <c r="K121" s="40" t="s">
        <v>1235</v>
      </c>
      <c r="L121" s="41" t="s">
        <v>35</v>
      </c>
      <c r="M121" s="35" t="s">
        <v>37</v>
      </c>
    </row>
    <row r="122" spans="1:13" ht="109.5" customHeight="1">
      <c r="A122" s="96" t="str">
        <f t="shared" si="4"/>
        <v>22EB0096WARRANTY BOND</v>
      </c>
      <c r="B122" s="136">
        <v>91</v>
      </c>
      <c r="C122" s="42" t="s">
        <v>971</v>
      </c>
      <c r="D122" s="36" t="s">
        <v>322</v>
      </c>
      <c r="E122" s="37" t="s">
        <v>1203</v>
      </c>
      <c r="F122" s="38">
        <v>13830010.82</v>
      </c>
      <c r="G122" s="39">
        <v>45156</v>
      </c>
      <c r="H122" s="39">
        <v>45155</v>
      </c>
      <c r="I122" s="39">
        <v>45000</v>
      </c>
      <c r="J122" s="83" t="s">
        <v>30</v>
      </c>
      <c r="K122" s="40" t="s">
        <v>1236</v>
      </c>
      <c r="L122" s="41" t="s">
        <v>35</v>
      </c>
      <c r="M122" s="35" t="s">
        <v>37</v>
      </c>
    </row>
    <row r="123" spans="1:13" ht="109.5" customHeight="1">
      <c r="A123" s="96" t="str">
        <f t="shared" si="4"/>
        <v>23EB0021WARRANTY BOND</v>
      </c>
      <c r="B123" s="136">
        <v>91</v>
      </c>
      <c r="C123" s="42" t="s">
        <v>855</v>
      </c>
      <c r="D123" s="36" t="s">
        <v>856</v>
      </c>
      <c r="E123" s="37" t="s">
        <v>1237</v>
      </c>
      <c r="F123" s="38">
        <v>13523411.220000001</v>
      </c>
      <c r="G123" s="39">
        <v>45162</v>
      </c>
      <c r="H123" s="39">
        <v>45162</v>
      </c>
      <c r="I123" s="39">
        <v>45893</v>
      </c>
      <c r="J123" s="83" t="s">
        <v>27</v>
      </c>
      <c r="K123" s="40" t="s">
        <v>1238</v>
      </c>
      <c r="L123" s="41" t="s">
        <v>69</v>
      </c>
      <c r="M123" s="35" t="s">
        <v>37</v>
      </c>
    </row>
    <row r="124" spans="1:13" ht="96" customHeight="1">
      <c r="A124" s="96" t="str">
        <f t="shared" si="4"/>
        <v>22EB0040WARRANTY BOND</v>
      </c>
      <c r="B124" s="136">
        <v>101</v>
      </c>
      <c r="C124" s="42" t="s">
        <v>758</v>
      </c>
      <c r="D124" s="36" t="s">
        <v>1232</v>
      </c>
      <c r="E124" s="37" t="s">
        <v>1233</v>
      </c>
      <c r="F124" s="38">
        <v>14526189.029999999</v>
      </c>
      <c r="G124" s="39">
        <v>45117</v>
      </c>
      <c r="H124" s="39">
        <v>45117</v>
      </c>
      <c r="I124" s="39">
        <v>45848</v>
      </c>
      <c r="J124" s="83" t="s">
        <v>27</v>
      </c>
      <c r="K124" s="40" t="s">
        <v>1239</v>
      </c>
      <c r="L124" s="41" t="s">
        <v>69</v>
      </c>
      <c r="M124" s="35" t="s">
        <v>37</v>
      </c>
    </row>
    <row r="125" spans="1:13" ht="108.75" customHeight="1">
      <c r="A125" s="96" t="str">
        <f t="shared" si="4"/>
        <v>23EB0061WARRANTY BOND</v>
      </c>
      <c r="B125" s="136">
        <v>125</v>
      </c>
      <c r="C125" s="42" t="s">
        <v>859</v>
      </c>
      <c r="D125" s="36" t="s">
        <v>860</v>
      </c>
      <c r="E125" s="37" t="s">
        <v>861</v>
      </c>
      <c r="F125" s="38">
        <v>1484600.73</v>
      </c>
      <c r="G125" s="39">
        <v>45080</v>
      </c>
      <c r="H125" s="39">
        <v>45080</v>
      </c>
      <c r="I125" s="39">
        <v>45811</v>
      </c>
      <c r="J125" s="83" t="s">
        <v>27</v>
      </c>
      <c r="K125" s="40" t="s">
        <v>1240</v>
      </c>
      <c r="L125" s="41" t="s">
        <v>69</v>
      </c>
      <c r="M125" s="35" t="s">
        <v>37</v>
      </c>
    </row>
    <row r="126" spans="1:13" ht="109.5" customHeight="1">
      <c r="A126" s="96" t="str">
        <f t="shared" si="4"/>
        <v>22EB0116WARRANTY BOND</v>
      </c>
      <c r="B126" s="136">
        <v>91</v>
      </c>
      <c r="C126" s="42" t="s">
        <v>735</v>
      </c>
      <c r="D126" s="36" t="s">
        <v>736</v>
      </c>
      <c r="E126" s="37" t="s">
        <v>737</v>
      </c>
      <c r="F126" s="38">
        <v>1499933.16</v>
      </c>
      <c r="G126" s="39">
        <v>45088</v>
      </c>
      <c r="H126" s="39">
        <v>45088</v>
      </c>
      <c r="I126" s="39">
        <v>45819</v>
      </c>
      <c r="J126" s="83" t="s">
        <v>27</v>
      </c>
      <c r="K126" s="40" t="s">
        <v>1241</v>
      </c>
      <c r="L126" s="41" t="s">
        <v>69</v>
      </c>
      <c r="M126" s="35" t="s">
        <v>37</v>
      </c>
    </row>
    <row r="127" spans="1:13" ht="96" customHeight="1">
      <c r="A127" s="96" t="str">
        <f t="shared" si="4"/>
        <v>22EB0040RETENTION BOND</v>
      </c>
      <c r="B127" s="136">
        <v>101</v>
      </c>
      <c r="C127" s="42" t="s">
        <v>758</v>
      </c>
      <c r="D127" s="36" t="s">
        <v>1232</v>
      </c>
      <c r="E127" s="37" t="s">
        <v>1233</v>
      </c>
      <c r="F127" s="38">
        <v>4842063.01</v>
      </c>
      <c r="G127" s="39">
        <v>45153</v>
      </c>
      <c r="H127" s="39">
        <v>45153</v>
      </c>
      <c r="I127" s="39">
        <v>45884</v>
      </c>
      <c r="J127" s="83" t="s">
        <v>27</v>
      </c>
      <c r="K127" s="40" t="s">
        <v>1234</v>
      </c>
      <c r="L127" s="41" t="s">
        <v>69</v>
      </c>
      <c r="M127" s="35" t="s">
        <v>33</v>
      </c>
    </row>
    <row r="128" spans="1:13" ht="82.5" customHeight="1">
      <c r="A128" s="96" t="str">
        <f t="shared" si="4"/>
        <v>23EB0094RETENTION BOND</v>
      </c>
      <c r="B128" s="136">
        <v>118</v>
      </c>
      <c r="C128" s="42" t="s">
        <v>560</v>
      </c>
      <c r="D128" s="36" t="s">
        <v>1242</v>
      </c>
      <c r="E128" s="37" t="s">
        <v>1243</v>
      </c>
      <c r="F128" s="38">
        <v>96820.73</v>
      </c>
      <c r="G128" s="39">
        <v>45153</v>
      </c>
      <c r="H128" s="39">
        <v>45153</v>
      </c>
      <c r="I128" s="39">
        <v>45519</v>
      </c>
      <c r="J128" s="83" t="s">
        <v>30</v>
      </c>
      <c r="K128" s="40" t="s">
        <v>1244</v>
      </c>
      <c r="L128" s="41" t="s">
        <v>69</v>
      </c>
      <c r="M128" s="35" t="s">
        <v>33</v>
      </c>
    </row>
    <row r="129" spans="1:13" s="168" customFormat="1" ht="82.5" customHeight="1">
      <c r="A129" s="157" t="str">
        <f t="shared" si="4"/>
        <v>23EB0057CONTRACTOR'S ALL RISK POLICY</v>
      </c>
      <c r="B129" s="158">
        <v>118</v>
      </c>
      <c r="C129" s="159" t="s">
        <v>36</v>
      </c>
      <c r="D129" s="160" t="s">
        <v>958</v>
      </c>
      <c r="E129" s="161" t="s">
        <v>959</v>
      </c>
      <c r="F129" s="162">
        <v>1484335.89</v>
      </c>
      <c r="G129" s="163">
        <v>45170</v>
      </c>
      <c r="H129" s="163">
        <v>45170</v>
      </c>
      <c r="I129" s="163">
        <v>45901</v>
      </c>
      <c r="J129" s="164" t="s">
        <v>30</v>
      </c>
      <c r="K129" s="165" t="s">
        <v>903</v>
      </c>
      <c r="L129" s="166" t="s">
        <v>35</v>
      </c>
      <c r="M129" s="167" t="s">
        <v>31</v>
      </c>
    </row>
    <row r="130" spans="1:13" ht="82.5" customHeight="1">
      <c r="A130" s="96" t="str">
        <f t="shared" si="4"/>
        <v>22EB0107WARRANTY BOND</v>
      </c>
      <c r="B130" s="136">
        <v>117</v>
      </c>
      <c r="C130" s="42" t="s">
        <v>407</v>
      </c>
      <c r="D130" s="36" t="s">
        <v>408</v>
      </c>
      <c r="E130" s="37" t="s">
        <v>1245</v>
      </c>
      <c r="F130" s="38">
        <v>6829573.1100000003</v>
      </c>
      <c r="G130" s="39">
        <v>45039</v>
      </c>
      <c r="H130" s="39">
        <v>45039</v>
      </c>
      <c r="I130" s="39">
        <v>45770</v>
      </c>
      <c r="J130" s="83" t="s">
        <v>27</v>
      </c>
      <c r="K130" s="40" t="s">
        <v>1246</v>
      </c>
      <c r="L130" s="41" t="s">
        <v>69</v>
      </c>
      <c r="M130" s="35" t="s">
        <v>37</v>
      </c>
    </row>
    <row r="131" spans="1:13" ht="82.5" customHeight="1">
      <c r="A131" s="96" t="str">
        <f t="shared" si="4"/>
        <v>22EB0105WARRANTY BOND</v>
      </c>
      <c r="B131" s="136">
        <v>117</v>
      </c>
      <c r="C131" s="42" t="s">
        <v>1247</v>
      </c>
      <c r="D131" s="36" t="s">
        <v>341</v>
      </c>
      <c r="E131" s="37" t="s">
        <v>1248</v>
      </c>
      <c r="F131" s="38">
        <v>5996206.6799999997</v>
      </c>
      <c r="G131" s="39">
        <v>44923</v>
      </c>
      <c r="H131" s="39">
        <v>44923</v>
      </c>
      <c r="I131" s="39">
        <v>45654</v>
      </c>
      <c r="J131" s="83" t="s">
        <v>27</v>
      </c>
      <c r="K131" s="40" t="s">
        <v>1246</v>
      </c>
      <c r="L131" s="41" t="s">
        <v>69</v>
      </c>
      <c r="M131" s="35" t="s">
        <v>37</v>
      </c>
    </row>
    <row r="132" spans="1:13" ht="82.5" customHeight="1">
      <c r="A132" s="96" t="str">
        <f t="shared" si="4"/>
        <v>23EB0061RETENTION BOND</v>
      </c>
      <c r="B132" s="136">
        <v>122</v>
      </c>
      <c r="C132" s="42" t="s">
        <v>859</v>
      </c>
      <c r="D132" s="36" t="s">
        <v>860</v>
      </c>
      <c r="E132" s="37" t="s">
        <v>861</v>
      </c>
      <c r="F132" s="38">
        <v>494866.91</v>
      </c>
      <c r="G132" s="39">
        <v>45153</v>
      </c>
      <c r="H132" s="39">
        <v>45153</v>
      </c>
      <c r="I132" s="39">
        <v>45519</v>
      </c>
      <c r="J132" s="83" t="s">
        <v>30</v>
      </c>
      <c r="K132" s="40" t="s">
        <v>1249</v>
      </c>
      <c r="L132" s="41" t="s">
        <v>69</v>
      </c>
      <c r="M132" s="35" t="s">
        <v>33</v>
      </c>
    </row>
    <row r="133" spans="1:13" ht="94.5" customHeight="1">
      <c r="A133" s="96" t="str">
        <f t="shared" si="4"/>
        <v>23EB0045RETENTION BOND</v>
      </c>
      <c r="B133" s="136">
        <v>122</v>
      </c>
      <c r="C133" s="42" t="s">
        <v>44</v>
      </c>
      <c r="D133" s="36" t="s">
        <v>804</v>
      </c>
      <c r="E133" s="37" t="s">
        <v>1250</v>
      </c>
      <c r="F133" s="38">
        <v>489936.82</v>
      </c>
      <c r="G133" s="39">
        <v>45061</v>
      </c>
      <c r="H133" s="39">
        <v>45061</v>
      </c>
      <c r="I133" s="39">
        <v>45427</v>
      </c>
      <c r="J133" s="83" t="s">
        <v>30</v>
      </c>
      <c r="K133" s="40" t="s">
        <v>1251</v>
      </c>
      <c r="L133" s="41" t="s">
        <v>69</v>
      </c>
      <c r="M133" s="35" t="s">
        <v>33</v>
      </c>
    </row>
    <row r="134" spans="1:13" ht="82.5" customHeight="1">
      <c r="A134" s="96" t="str">
        <f t="shared" si="4"/>
        <v>22EB0116RETENTION BOND</v>
      </c>
      <c r="B134" s="136">
        <v>117</v>
      </c>
      <c r="C134" s="42" t="s">
        <v>735</v>
      </c>
      <c r="D134" s="36" t="s">
        <v>736</v>
      </c>
      <c r="E134" s="37" t="s">
        <v>737</v>
      </c>
      <c r="F134" s="38">
        <v>499977.73</v>
      </c>
      <c r="G134" s="39">
        <v>45153</v>
      </c>
      <c r="H134" s="39">
        <v>45153</v>
      </c>
      <c r="I134" s="39">
        <v>45519</v>
      </c>
      <c r="J134" s="83" t="s">
        <v>30</v>
      </c>
      <c r="K134" s="40" t="s">
        <v>1252</v>
      </c>
      <c r="L134" s="41" t="s">
        <v>69</v>
      </c>
      <c r="M134" s="35" t="s">
        <v>33</v>
      </c>
    </row>
    <row r="135" spans="1:13" ht="82.5" customHeight="1">
      <c r="A135" s="96" t="str">
        <f t="shared" si="4"/>
        <v>23EB0035WARRANTY BOND</v>
      </c>
      <c r="B135" s="136">
        <v>125</v>
      </c>
      <c r="C135" s="42" t="s">
        <v>847</v>
      </c>
      <c r="D135" s="36" t="s">
        <v>867</v>
      </c>
      <c r="E135" s="37" t="s">
        <v>868</v>
      </c>
      <c r="F135" s="38">
        <v>13552087.43</v>
      </c>
      <c r="G135" s="39">
        <v>45174</v>
      </c>
      <c r="H135" s="39">
        <v>45174</v>
      </c>
      <c r="I135" s="39">
        <v>45905</v>
      </c>
      <c r="J135" s="83" t="s">
        <v>27</v>
      </c>
      <c r="K135" s="40" t="s">
        <v>1253</v>
      </c>
      <c r="L135" s="41" t="s">
        <v>69</v>
      </c>
      <c r="M135" s="35" t="s">
        <v>37</v>
      </c>
    </row>
    <row r="136" spans="1:13" ht="82.5" customHeight="1">
      <c r="A136" s="96" t="str">
        <f t="shared" si="4"/>
        <v>23EB0094RETENTION BOND</v>
      </c>
      <c r="B136" s="136">
        <v>125</v>
      </c>
      <c r="C136" s="42" t="s">
        <v>560</v>
      </c>
      <c r="D136" s="36" t="s">
        <v>1242</v>
      </c>
      <c r="E136" s="37" t="s">
        <v>1243</v>
      </c>
      <c r="F136" s="38">
        <v>96820.73</v>
      </c>
      <c r="G136" s="39">
        <v>45153</v>
      </c>
      <c r="H136" s="39">
        <v>45153</v>
      </c>
      <c r="I136" s="39">
        <v>45519</v>
      </c>
      <c r="J136" s="83" t="s">
        <v>30</v>
      </c>
      <c r="K136" s="40" t="s">
        <v>1254</v>
      </c>
      <c r="L136" s="41" t="s">
        <v>69</v>
      </c>
      <c r="M136" s="35" t="s">
        <v>33</v>
      </c>
    </row>
    <row r="137" spans="1:13" ht="82.5" customHeight="1">
      <c r="A137" s="96" t="str">
        <f t="shared" si="4"/>
        <v>22EB0093RETENTION BOND</v>
      </c>
      <c r="B137" s="136">
        <v>125</v>
      </c>
      <c r="C137" s="42" t="s">
        <v>44</v>
      </c>
      <c r="D137" s="36" t="s">
        <v>1255</v>
      </c>
      <c r="E137" s="37" t="s">
        <v>1256</v>
      </c>
      <c r="F137" s="38">
        <v>3564495.3</v>
      </c>
      <c r="G137" s="39">
        <v>45196</v>
      </c>
      <c r="H137" s="39">
        <v>45196</v>
      </c>
      <c r="I137" s="39">
        <v>45562</v>
      </c>
      <c r="J137" s="83" t="s">
        <v>30</v>
      </c>
      <c r="K137" s="40" t="s">
        <v>1257</v>
      </c>
      <c r="L137" s="41" t="s">
        <v>35</v>
      </c>
      <c r="M137" s="35" t="s">
        <v>33</v>
      </c>
    </row>
    <row r="138" spans="1:13" ht="82.5" customHeight="1">
      <c r="A138" s="96" t="str">
        <f t="shared" si="4"/>
        <v>23EB0003RETENTION BOND</v>
      </c>
      <c r="B138" s="136">
        <v>122</v>
      </c>
      <c r="C138" s="42" t="s">
        <v>75</v>
      </c>
      <c r="D138" s="36" t="s">
        <v>795</v>
      </c>
      <c r="E138" s="37" t="s">
        <v>1256</v>
      </c>
      <c r="F138" s="38">
        <v>3135562.52</v>
      </c>
      <c r="G138" s="39">
        <v>45187</v>
      </c>
      <c r="H138" s="39">
        <v>45187</v>
      </c>
      <c r="I138" s="39">
        <v>45553</v>
      </c>
      <c r="J138" s="83" t="s">
        <v>30</v>
      </c>
      <c r="K138" s="40" t="s">
        <v>1258</v>
      </c>
      <c r="L138" s="41" t="s">
        <v>35</v>
      </c>
      <c r="M138" s="35" t="s">
        <v>33</v>
      </c>
    </row>
    <row r="139" spans="1:13" ht="82.5" customHeight="1">
      <c r="A139" s="96" t="str">
        <f t="shared" si="4"/>
        <v>22EB0117RETENTION BOND</v>
      </c>
      <c r="B139" s="136">
        <v>122</v>
      </c>
      <c r="C139" s="42" t="s">
        <v>44</v>
      </c>
      <c r="D139" s="36" t="s">
        <v>696</v>
      </c>
      <c r="E139" s="37" t="s">
        <v>697</v>
      </c>
      <c r="F139" s="38">
        <v>1749308.48</v>
      </c>
      <c r="G139" s="39">
        <v>45196</v>
      </c>
      <c r="H139" s="39">
        <v>45196</v>
      </c>
      <c r="I139" s="39">
        <v>45562</v>
      </c>
      <c r="J139" s="83" t="s">
        <v>30</v>
      </c>
      <c r="K139" s="40" t="s">
        <v>1259</v>
      </c>
      <c r="L139" s="41" t="s">
        <v>35</v>
      </c>
      <c r="M139" s="35" t="s">
        <v>33</v>
      </c>
    </row>
    <row r="140" spans="1:13" ht="86.25" customHeight="1">
      <c r="A140" s="96" t="str">
        <f t="shared" si="4"/>
        <v>23EB0046WARRANTY BOND</v>
      </c>
      <c r="B140" s="136">
        <v>129</v>
      </c>
      <c r="C140" s="42" t="s">
        <v>75</v>
      </c>
      <c r="D140" s="36" t="s">
        <v>817</v>
      </c>
      <c r="E140" s="37" t="s">
        <v>818</v>
      </c>
      <c r="F140" s="38">
        <v>2036817.03</v>
      </c>
      <c r="G140" s="39">
        <v>45128</v>
      </c>
      <c r="H140" s="39">
        <v>45128</v>
      </c>
      <c r="I140" s="39">
        <v>45859</v>
      </c>
      <c r="J140" s="83" t="s">
        <v>27</v>
      </c>
      <c r="K140" s="40" t="s">
        <v>1260</v>
      </c>
      <c r="L140" s="41" t="s">
        <v>69</v>
      </c>
      <c r="M140" s="35" t="s">
        <v>37</v>
      </c>
    </row>
    <row r="141" spans="1:13" ht="82.5" customHeight="1">
      <c r="A141" s="96" t="str">
        <f t="shared" si="4"/>
        <v>23EB0050WARRANTY BOND</v>
      </c>
      <c r="B141" s="136">
        <v>131</v>
      </c>
      <c r="C141" s="42" t="s">
        <v>44</v>
      </c>
      <c r="D141" s="36" t="s">
        <v>814</v>
      </c>
      <c r="E141" s="37" t="s">
        <v>1261</v>
      </c>
      <c r="F141" s="38">
        <v>1484908.68</v>
      </c>
      <c r="G141" s="39">
        <v>45103</v>
      </c>
      <c r="H141" s="39">
        <v>45103</v>
      </c>
      <c r="I141" s="39">
        <v>45834</v>
      </c>
      <c r="J141" s="83" t="s">
        <v>27</v>
      </c>
      <c r="K141" s="40" t="s">
        <v>1262</v>
      </c>
      <c r="L141" s="41" t="s">
        <v>69</v>
      </c>
      <c r="M141" s="35" t="s">
        <v>37</v>
      </c>
    </row>
    <row r="142" spans="1:13" ht="82.5" customHeight="1">
      <c r="A142" s="96" t="str">
        <f t="shared" si="4"/>
        <v>23EB0083WARRANTY BOND</v>
      </c>
      <c r="B142" s="136">
        <v>132</v>
      </c>
      <c r="C142" s="42" t="s">
        <v>453</v>
      </c>
      <c r="D142" s="36" t="s">
        <v>1109</v>
      </c>
      <c r="E142" s="37" t="s">
        <v>1110</v>
      </c>
      <c r="F142" s="38">
        <v>1484954.85</v>
      </c>
      <c r="G142" s="39">
        <v>45104</v>
      </c>
      <c r="H142" s="39">
        <v>45104</v>
      </c>
      <c r="I142" s="39">
        <v>45835</v>
      </c>
      <c r="J142" s="83" t="s">
        <v>27</v>
      </c>
      <c r="K142" s="40" t="s">
        <v>1263</v>
      </c>
      <c r="L142" s="41" t="s">
        <v>69</v>
      </c>
      <c r="M142" s="35" t="s">
        <v>37</v>
      </c>
    </row>
    <row r="143" spans="1:13" ht="126" customHeight="1">
      <c r="A143" s="96" t="str">
        <f t="shared" si="4"/>
        <v>23EB0095WARRANTY BOND</v>
      </c>
      <c r="B143" s="136">
        <v>133</v>
      </c>
      <c r="C143" s="42" t="s">
        <v>44</v>
      </c>
      <c r="D143" s="36" t="s">
        <v>1264</v>
      </c>
      <c r="E143" s="37" t="s">
        <v>1265</v>
      </c>
      <c r="F143" s="38">
        <v>799678.61</v>
      </c>
      <c r="G143" s="39">
        <v>45146</v>
      </c>
      <c r="H143" s="39">
        <v>45146</v>
      </c>
      <c r="I143" s="39">
        <v>45877</v>
      </c>
      <c r="J143" s="83" t="s">
        <v>27</v>
      </c>
      <c r="K143" s="40" t="s">
        <v>1266</v>
      </c>
      <c r="L143" s="41" t="s">
        <v>69</v>
      </c>
      <c r="M143" s="35" t="s">
        <v>37</v>
      </c>
    </row>
    <row r="144" spans="1:13" ht="126" customHeight="1">
      <c r="A144" s="96" t="str">
        <f t="shared" si="4"/>
        <v>22EB0114WARRANTY BOND</v>
      </c>
      <c r="B144" s="136">
        <v>133</v>
      </c>
      <c r="C144" s="42" t="s">
        <v>44</v>
      </c>
      <c r="D144" s="36" t="s">
        <v>487</v>
      </c>
      <c r="E144" s="37" t="s">
        <v>1267</v>
      </c>
      <c r="F144" s="38">
        <v>8089654.2999999998</v>
      </c>
      <c r="G144" s="39">
        <v>45069</v>
      </c>
      <c r="H144" s="39">
        <v>45069</v>
      </c>
      <c r="I144" s="39">
        <v>45800</v>
      </c>
      <c r="J144" s="83" t="s">
        <v>27</v>
      </c>
      <c r="K144" s="40" t="s">
        <v>1268</v>
      </c>
      <c r="L144" s="41" t="s">
        <v>69</v>
      </c>
      <c r="M144" s="35" t="s">
        <v>37</v>
      </c>
    </row>
    <row r="145" spans="1:13" ht="108.75" customHeight="1">
      <c r="A145" s="96" t="str">
        <f t="shared" si="4"/>
        <v>23EB0096WARRANTY BOND</v>
      </c>
      <c r="B145" s="136">
        <v>125</v>
      </c>
      <c r="C145" s="42" t="s">
        <v>44</v>
      </c>
      <c r="D145" s="36" t="s">
        <v>1157</v>
      </c>
      <c r="E145" s="37" t="s">
        <v>1158</v>
      </c>
      <c r="F145" s="38">
        <v>445499.17</v>
      </c>
      <c r="G145" s="39">
        <v>45168</v>
      </c>
      <c r="H145" s="39">
        <v>45168</v>
      </c>
      <c r="I145" s="39">
        <v>45899</v>
      </c>
      <c r="J145" s="83" t="s">
        <v>27</v>
      </c>
      <c r="K145" s="40" t="s">
        <v>1269</v>
      </c>
      <c r="L145" s="41" t="s">
        <v>69</v>
      </c>
      <c r="M145" s="35" t="s">
        <v>37</v>
      </c>
    </row>
    <row r="146" spans="1:13" ht="102" customHeight="1">
      <c r="A146" s="96" t="str">
        <f t="shared" si="4"/>
        <v>23EB0030RETENTION BOND</v>
      </c>
      <c r="B146" s="136">
        <v>164</v>
      </c>
      <c r="C146" s="42" t="s">
        <v>977</v>
      </c>
      <c r="D146" s="36" t="s">
        <v>978</v>
      </c>
      <c r="E146" s="37" t="s">
        <v>979</v>
      </c>
      <c r="F146" s="38">
        <v>4507935.5199999996</v>
      </c>
      <c r="G146" s="39">
        <v>45153</v>
      </c>
      <c r="H146" s="39">
        <v>45153</v>
      </c>
      <c r="I146" s="39">
        <v>45884</v>
      </c>
      <c r="J146" s="83" t="s">
        <v>30</v>
      </c>
      <c r="K146" s="40" t="s">
        <v>1270</v>
      </c>
      <c r="L146" s="41" t="s">
        <v>69</v>
      </c>
      <c r="M146" s="35" t="s">
        <v>33</v>
      </c>
    </row>
    <row r="147" spans="1:13" ht="108.75" customHeight="1">
      <c r="A147" s="96" t="str">
        <f t="shared" si="4"/>
        <v>23EB0091WARRANTY BOND</v>
      </c>
      <c r="B147" s="136">
        <v>125</v>
      </c>
      <c r="C147" s="42" t="s">
        <v>560</v>
      </c>
      <c r="D147" s="36" t="s">
        <v>1271</v>
      </c>
      <c r="E147" s="37" t="s">
        <v>1272</v>
      </c>
      <c r="F147" s="38">
        <v>142498.98000000001</v>
      </c>
      <c r="G147" s="39">
        <v>45068</v>
      </c>
      <c r="H147" s="39">
        <v>45068</v>
      </c>
      <c r="I147" s="39">
        <v>45799</v>
      </c>
      <c r="J147" s="83" t="s">
        <v>27</v>
      </c>
      <c r="K147" s="40" t="s">
        <v>1273</v>
      </c>
      <c r="L147" s="41" t="s">
        <v>69</v>
      </c>
      <c r="M147" s="35" t="s">
        <v>37</v>
      </c>
    </row>
    <row r="148" spans="1:13" ht="108.75" customHeight="1">
      <c r="A148" s="96" t="str">
        <f t="shared" si="4"/>
        <v>23EB0045WARRANTY BOND</v>
      </c>
      <c r="B148" s="136">
        <v>125</v>
      </c>
      <c r="C148" s="42" t="s">
        <v>44</v>
      </c>
      <c r="D148" s="36" t="s">
        <v>804</v>
      </c>
      <c r="E148" s="37" t="s">
        <v>1250</v>
      </c>
      <c r="F148" s="38">
        <v>1469810.46</v>
      </c>
      <c r="G148" s="39">
        <v>45041</v>
      </c>
      <c r="H148" s="39">
        <v>45041</v>
      </c>
      <c r="I148" s="39">
        <v>45772</v>
      </c>
      <c r="J148" s="83" t="s">
        <v>27</v>
      </c>
      <c r="K148" s="40" t="s">
        <v>1274</v>
      </c>
      <c r="L148" s="41" t="s">
        <v>69</v>
      </c>
      <c r="M148" s="35" t="s">
        <v>37</v>
      </c>
    </row>
    <row r="149" spans="1:13" ht="108.75" customHeight="1">
      <c r="A149" s="96" t="str">
        <f t="shared" si="4"/>
        <v>23EB0057WARRANTY BOND</v>
      </c>
      <c r="B149" s="136">
        <v>125</v>
      </c>
      <c r="C149" s="42" t="s">
        <v>36</v>
      </c>
      <c r="D149" s="36" t="s">
        <v>958</v>
      </c>
      <c r="E149" s="37" t="s">
        <v>959</v>
      </c>
      <c r="F149" s="38">
        <v>1484335.89</v>
      </c>
      <c r="G149" s="39">
        <v>45170</v>
      </c>
      <c r="H149" s="39">
        <v>45170</v>
      </c>
      <c r="I149" s="39" t="s">
        <v>1275</v>
      </c>
      <c r="J149" s="83" t="s">
        <v>27</v>
      </c>
      <c r="K149" s="40" t="s">
        <v>1276</v>
      </c>
      <c r="L149" s="41" t="s">
        <v>32</v>
      </c>
      <c r="M149" s="35" t="s">
        <v>37</v>
      </c>
    </row>
    <row r="150" spans="1:13" ht="108.75" customHeight="1">
      <c r="A150" s="96" t="str">
        <f t="shared" si="4"/>
        <v>22EB0073RETENTION BOND</v>
      </c>
      <c r="B150" s="136">
        <v>125</v>
      </c>
      <c r="C150" s="42" t="s">
        <v>1277</v>
      </c>
      <c r="D150" s="36" t="s">
        <v>1278</v>
      </c>
      <c r="E150" s="37" t="s">
        <v>1279</v>
      </c>
      <c r="F150" s="38">
        <v>2951025.44</v>
      </c>
      <c r="G150" s="39">
        <v>45187</v>
      </c>
      <c r="H150" s="39">
        <v>45187</v>
      </c>
      <c r="I150" s="39">
        <v>45553</v>
      </c>
      <c r="J150" s="83" t="s">
        <v>30</v>
      </c>
      <c r="K150" s="40" t="s">
        <v>1280</v>
      </c>
      <c r="L150" s="41" t="s">
        <v>35</v>
      </c>
      <c r="M150" s="35" t="s">
        <v>33</v>
      </c>
    </row>
    <row r="151" spans="1:13" ht="108.75" customHeight="1">
      <c r="A151" s="96" t="str">
        <f t="shared" si="4"/>
        <v>23EB0026RETENTION BOND</v>
      </c>
      <c r="B151" s="136">
        <v>125</v>
      </c>
      <c r="C151" s="42" t="s">
        <v>36</v>
      </c>
      <c r="D151" s="36" t="s">
        <v>944</v>
      </c>
      <c r="E151" s="37" t="s">
        <v>945</v>
      </c>
      <c r="F151" s="38">
        <v>4484834.78</v>
      </c>
      <c r="G151" s="39">
        <v>45177</v>
      </c>
      <c r="H151" s="39">
        <v>45177</v>
      </c>
      <c r="I151" s="39">
        <v>45543</v>
      </c>
      <c r="J151" s="83" t="s">
        <v>30</v>
      </c>
      <c r="K151" s="40" t="s">
        <v>1281</v>
      </c>
      <c r="L151" s="41" t="s">
        <v>35</v>
      </c>
      <c r="M151" s="35" t="s">
        <v>33</v>
      </c>
    </row>
    <row r="152" spans="1:13" ht="82.5" customHeight="1">
      <c r="A152" s="96" t="str">
        <f t="shared" si="4"/>
        <v>23EB0003WARRANTY BOND</v>
      </c>
      <c r="B152" s="136">
        <v>122</v>
      </c>
      <c r="C152" s="42" t="s">
        <v>75</v>
      </c>
      <c r="D152" s="36" t="s">
        <v>795</v>
      </c>
      <c r="E152" s="37" t="s">
        <v>1283</v>
      </c>
      <c r="F152" s="38">
        <v>9406687.5500000007</v>
      </c>
      <c r="G152" s="39">
        <v>45198</v>
      </c>
      <c r="H152" s="39">
        <v>45198</v>
      </c>
      <c r="I152" s="39">
        <v>45929</v>
      </c>
      <c r="J152" s="83" t="s">
        <v>27</v>
      </c>
      <c r="K152" s="40" t="s">
        <v>1282</v>
      </c>
      <c r="L152" s="41" t="s">
        <v>35</v>
      </c>
      <c r="M152" s="35" t="s">
        <v>37</v>
      </c>
    </row>
    <row r="153" spans="1:13" ht="82.5" customHeight="1">
      <c r="A153" s="96"/>
      <c r="B153" s="136"/>
      <c r="C153" s="42"/>
      <c r="D153" s="36"/>
      <c r="E153" s="37"/>
      <c r="F153" s="38"/>
      <c r="G153" s="39"/>
      <c r="H153" s="39"/>
      <c r="I153" s="39"/>
      <c r="J153" s="83"/>
      <c r="K153" s="40"/>
      <c r="L153" s="41"/>
      <c r="M153" s="35"/>
    </row>
    <row r="154" spans="1:13" ht="82.5" customHeight="1">
      <c r="A154" s="96"/>
      <c r="B154" s="136"/>
      <c r="C154" s="42"/>
      <c r="D154" s="36"/>
      <c r="E154" s="37"/>
      <c r="F154" s="38"/>
      <c r="G154" s="39"/>
      <c r="H154" s="39"/>
      <c r="I154" s="39"/>
      <c r="J154" s="83"/>
      <c r="K154" s="40"/>
      <c r="L154" s="41"/>
      <c r="M154" s="35"/>
    </row>
    <row r="155" spans="1:13" ht="82.5" customHeight="1">
      <c r="A155" s="96"/>
      <c r="B155" s="136"/>
      <c r="C155" s="42"/>
      <c r="D155" s="36"/>
      <c r="E155" s="37"/>
      <c r="F155" s="38"/>
      <c r="G155" s="39"/>
      <c r="H155" s="39"/>
      <c r="I155" s="39"/>
      <c r="J155" s="83"/>
      <c r="K155" s="40"/>
      <c r="L155" s="41"/>
      <c r="M155" s="35"/>
    </row>
    <row r="156" spans="1:13" ht="82.5" customHeight="1">
      <c r="A156" s="96"/>
      <c r="B156" s="136"/>
      <c r="C156" s="42"/>
      <c r="D156" s="36"/>
      <c r="E156" s="37"/>
      <c r="F156" s="38"/>
      <c r="G156" s="39"/>
      <c r="H156" s="39"/>
      <c r="I156" s="39"/>
      <c r="J156" s="83"/>
      <c r="K156" s="40"/>
      <c r="L156" s="41"/>
      <c r="M156" s="35"/>
    </row>
    <row r="157" spans="1:13" ht="82.5" customHeight="1">
      <c r="A157" s="96"/>
      <c r="B157" s="136"/>
      <c r="C157" s="42"/>
      <c r="D157" s="36"/>
      <c r="E157" s="37"/>
      <c r="F157" s="38"/>
      <c r="G157" s="39"/>
      <c r="H157" s="39"/>
      <c r="I157" s="39"/>
      <c r="J157" s="83"/>
      <c r="K157" s="40"/>
      <c r="L157" s="41"/>
      <c r="M157" s="35"/>
    </row>
    <row r="158" spans="1:13" ht="82.5" customHeight="1">
      <c r="A158" s="96"/>
      <c r="B158" s="136"/>
      <c r="C158" s="42"/>
      <c r="D158" s="36"/>
      <c r="E158" s="37"/>
      <c r="F158" s="38"/>
      <c r="G158" s="39"/>
      <c r="H158" s="39"/>
      <c r="I158" s="39"/>
      <c r="J158" s="83"/>
      <c r="K158" s="40"/>
      <c r="L158" s="41"/>
      <c r="M158" s="35"/>
    </row>
    <row r="159" spans="1:13" ht="82.5" customHeight="1">
      <c r="A159" s="96"/>
      <c r="B159" s="136"/>
      <c r="C159" s="42"/>
      <c r="D159" s="36"/>
      <c r="E159" s="37"/>
      <c r="F159" s="38"/>
      <c r="G159" s="39"/>
      <c r="H159" s="39"/>
      <c r="I159" s="39"/>
      <c r="J159" s="83"/>
      <c r="K159" s="40"/>
      <c r="L159" s="41"/>
      <c r="M159" s="35"/>
    </row>
    <row r="160" spans="1:13" ht="82.5" customHeight="1">
      <c r="A160" s="96"/>
      <c r="B160" s="136"/>
      <c r="C160" s="42"/>
      <c r="D160" s="36"/>
      <c r="E160" s="37"/>
      <c r="F160" s="38"/>
      <c r="G160" s="39"/>
      <c r="H160" s="39"/>
      <c r="I160" s="39"/>
      <c r="J160" s="83"/>
      <c r="K160" s="40"/>
      <c r="L160" s="41"/>
      <c r="M160" s="35"/>
    </row>
    <row r="161" spans="1:13" ht="82.5" customHeight="1">
      <c r="A161" s="96"/>
      <c r="B161" s="136"/>
      <c r="C161" s="42"/>
      <c r="D161" s="36"/>
      <c r="E161" s="37"/>
      <c r="F161" s="38"/>
      <c r="G161" s="39"/>
      <c r="H161" s="39"/>
      <c r="I161" s="39"/>
      <c r="J161" s="83"/>
      <c r="K161" s="40"/>
      <c r="L161" s="41"/>
      <c r="M161" s="35"/>
    </row>
    <row r="162" spans="1:13" ht="82.5" customHeight="1">
      <c r="A162" s="96"/>
      <c r="B162" s="136"/>
      <c r="C162" s="42"/>
      <c r="D162" s="36"/>
      <c r="E162" s="37"/>
      <c r="F162" s="38"/>
      <c r="G162" s="39"/>
      <c r="H162" s="39"/>
      <c r="I162" s="39"/>
      <c r="J162" s="83"/>
      <c r="K162" s="40"/>
      <c r="L162" s="41"/>
      <c r="M162" s="35"/>
    </row>
    <row r="163" spans="1:13" ht="82.5" customHeight="1">
      <c r="A163" s="96"/>
      <c r="B163" s="136"/>
      <c r="C163" s="42"/>
      <c r="D163" s="36"/>
      <c r="E163" s="37"/>
      <c r="F163" s="38"/>
      <c r="G163" s="39"/>
      <c r="H163" s="39"/>
      <c r="I163" s="39"/>
      <c r="J163" s="83"/>
      <c r="K163" s="40"/>
      <c r="L163" s="41"/>
      <c r="M163" s="35"/>
    </row>
    <row r="164" spans="1:13" ht="82.5" customHeight="1">
      <c r="A164" s="96"/>
      <c r="B164" s="136"/>
      <c r="C164" s="42"/>
      <c r="D164" s="36"/>
      <c r="E164" s="37"/>
      <c r="F164" s="38"/>
      <c r="G164" s="39"/>
      <c r="H164" s="39"/>
      <c r="I164" s="39"/>
      <c r="J164" s="83"/>
      <c r="K164" s="40"/>
      <c r="L164" s="41"/>
      <c r="M164" s="35"/>
    </row>
    <row r="165" spans="1:13" ht="82.5" customHeight="1">
      <c r="A165" s="96"/>
      <c r="B165" s="136"/>
      <c r="C165" s="42"/>
      <c r="D165" s="36"/>
      <c r="E165" s="37"/>
      <c r="F165" s="38"/>
      <c r="G165" s="39"/>
      <c r="H165" s="39"/>
      <c r="I165" s="39"/>
      <c r="J165" s="83"/>
      <c r="K165" s="40"/>
      <c r="L165" s="41"/>
      <c r="M165" s="35"/>
    </row>
    <row r="166" spans="1:13" ht="82.5" customHeight="1">
      <c r="A166" s="96"/>
      <c r="B166" s="136"/>
      <c r="C166" s="42"/>
      <c r="D166" s="36"/>
      <c r="E166" s="37"/>
      <c r="F166" s="38"/>
      <c r="G166" s="39"/>
      <c r="H166" s="39"/>
      <c r="I166" s="39"/>
      <c r="J166" s="83"/>
      <c r="K166" s="40"/>
      <c r="L166" s="41"/>
      <c r="M166" s="35"/>
    </row>
    <row r="167" spans="1:13" ht="82.5" customHeight="1">
      <c r="A167" s="96"/>
      <c r="B167" s="136"/>
      <c r="C167" s="42"/>
      <c r="D167" s="36"/>
      <c r="E167" s="37"/>
      <c r="F167" s="38"/>
      <c r="G167" s="39"/>
      <c r="H167" s="39"/>
      <c r="I167" s="39"/>
      <c r="J167" s="83"/>
      <c r="K167" s="40"/>
      <c r="L167" s="41"/>
      <c r="M167" s="35"/>
    </row>
    <row r="168" spans="1:13" ht="82.5" customHeight="1">
      <c r="A168" s="96"/>
      <c r="B168" s="136"/>
      <c r="C168" s="42"/>
      <c r="D168" s="36"/>
      <c r="E168" s="37"/>
      <c r="F168" s="38"/>
      <c r="G168" s="39"/>
      <c r="H168" s="39"/>
      <c r="I168" s="39"/>
      <c r="J168" s="83"/>
      <c r="K168" s="40"/>
      <c r="L168" s="41"/>
      <c r="M168" s="35"/>
    </row>
    <row r="169" spans="1:13" ht="82.5" customHeight="1">
      <c r="A169" s="96"/>
      <c r="B169" s="136"/>
      <c r="C169" s="42"/>
      <c r="D169" s="36"/>
      <c r="E169" s="37"/>
      <c r="F169" s="38"/>
      <c r="G169" s="39"/>
      <c r="H169" s="39"/>
      <c r="I169" s="39"/>
      <c r="J169" s="83"/>
      <c r="K169" s="40"/>
      <c r="L169" s="41"/>
      <c r="M169" s="35"/>
    </row>
    <row r="170" spans="1:13" ht="82.5" customHeight="1">
      <c r="A170" s="96"/>
      <c r="B170" s="136"/>
      <c r="C170" s="42"/>
      <c r="D170" s="36"/>
      <c r="E170" s="37"/>
      <c r="F170" s="38"/>
      <c r="G170" s="39"/>
      <c r="H170" s="39"/>
      <c r="I170" s="39"/>
      <c r="J170" s="83"/>
      <c r="K170" s="40"/>
      <c r="L170" s="41"/>
      <c r="M170" s="35"/>
    </row>
    <row r="171" spans="1:13" ht="82.5" customHeight="1">
      <c r="A171" s="96"/>
      <c r="B171" s="136"/>
      <c r="C171" s="42"/>
      <c r="D171" s="36"/>
      <c r="E171" s="37"/>
      <c r="F171" s="38"/>
      <c r="G171" s="39"/>
      <c r="H171" s="39"/>
      <c r="I171" s="39"/>
      <c r="J171" s="83"/>
      <c r="K171" s="40"/>
      <c r="L171" s="41"/>
      <c r="M171" s="35"/>
    </row>
    <row r="172" spans="1:13" ht="82.5" customHeight="1">
      <c r="A172" s="96"/>
      <c r="B172" s="136"/>
      <c r="C172" s="42"/>
      <c r="D172" s="36"/>
      <c r="E172" s="37"/>
      <c r="F172" s="38"/>
      <c r="G172" s="39"/>
      <c r="H172" s="39"/>
      <c r="I172" s="39"/>
      <c r="J172" s="83"/>
      <c r="K172" s="40"/>
      <c r="L172" s="41"/>
      <c r="M172" s="35"/>
    </row>
    <row r="173" spans="1:13" ht="82.5" customHeight="1">
      <c r="A173" s="96"/>
      <c r="B173" s="136"/>
      <c r="C173" s="42"/>
      <c r="D173" s="36"/>
      <c r="E173" s="37"/>
      <c r="F173" s="38"/>
      <c r="G173" s="39"/>
      <c r="H173" s="39"/>
      <c r="I173" s="39"/>
      <c r="J173" s="83"/>
      <c r="K173" s="40"/>
      <c r="L173" s="41"/>
      <c r="M173" s="35"/>
    </row>
    <row r="174" spans="1:13" ht="82.5" customHeight="1">
      <c r="A174" s="96"/>
      <c r="B174" s="136"/>
      <c r="C174" s="42"/>
      <c r="D174" s="36"/>
      <c r="E174" s="37"/>
      <c r="F174" s="38"/>
      <c r="G174" s="39"/>
      <c r="H174" s="39"/>
      <c r="I174" s="39"/>
      <c r="J174" s="83"/>
      <c r="K174" s="40"/>
      <c r="L174" s="41"/>
      <c r="M174" s="35"/>
    </row>
    <row r="175" spans="1:13" ht="82.5" customHeight="1">
      <c r="A175" s="96"/>
      <c r="B175" s="136"/>
      <c r="C175" s="42"/>
      <c r="D175" s="36"/>
      <c r="E175" s="37"/>
      <c r="F175" s="38"/>
      <c r="G175" s="39"/>
      <c r="H175" s="39"/>
      <c r="I175" s="39"/>
      <c r="J175" s="83"/>
      <c r="K175" s="40"/>
      <c r="L175" s="41"/>
      <c r="M175" s="35"/>
    </row>
    <row r="176" spans="1:13" ht="82.5" customHeight="1">
      <c r="A176" s="96"/>
      <c r="B176" s="136"/>
      <c r="C176" s="42"/>
      <c r="D176" s="36"/>
      <c r="E176" s="37"/>
      <c r="F176" s="38"/>
      <c r="G176" s="39"/>
      <c r="H176" s="39"/>
      <c r="I176" s="39"/>
      <c r="J176" s="83"/>
      <c r="K176" s="40"/>
      <c r="L176" s="41"/>
      <c r="M176" s="35"/>
    </row>
    <row r="177" spans="1:13" ht="82.5" customHeight="1">
      <c r="A177" s="96"/>
      <c r="B177" s="136"/>
      <c r="C177" s="42"/>
      <c r="D177" s="36"/>
      <c r="E177" s="37"/>
      <c r="F177" s="38"/>
      <c r="G177" s="39"/>
      <c r="H177" s="39"/>
      <c r="I177" s="39"/>
      <c r="J177" s="83"/>
      <c r="K177" s="40"/>
      <c r="L177" s="41"/>
      <c r="M177" s="35"/>
    </row>
    <row r="178" spans="1:13" ht="82.5" customHeight="1">
      <c r="A178" s="96"/>
      <c r="B178" s="136"/>
      <c r="C178" s="42"/>
      <c r="D178" s="36"/>
      <c r="E178" s="37"/>
      <c r="F178" s="38"/>
      <c r="G178" s="39"/>
      <c r="H178" s="39"/>
      <c r="I178" s="39"/>
      <c r="J178" s="83"/>
      <c r="K178" s="40"/>
      <c r="L178" s="41"/>
      <c r="M178" s="35"/>
    </row>
    <row r="179" spans="1:13" ht="82.5" customHeight="1">
      <c r="A179" s="96"/>
      <c r="B179" s="136"/>
      <c r="C179" s="42"/>
      <c r="D179" s="36"/>
      <c r="E179" s="37"/>
      <c r="F179" s="38"/>
      <c r="G179" s="39"/>
      <c r="H179" s="39"/>
      <c r="I179" s="39"/>
      <c r="J179" s="83"/>
      <c r="K179" s="40"/>
      <c r="L179" s="41"/>
      <c r="M179" s="35"/>
    </row>
    <row r="180" spans="1:13" ht="82.5" customHeight="1">
      <c r="A180" s="96"/>
      <c r="B180" s="136"/>
      <c r="C180" s="42"/>
      <c r="D180" s="36"/>
      <c r="E180" s="37"/>
      <c r="F180" s="38"/>
      <c r="G180" s="39"/>
      <c r="H180" s="39"/>
      <c r="I180" s="39"/>
      <c r="J180" s="83"/>
      <c r="K180" s="40"/>
      <c r="L180" s="41"/>
      <c r="M180" s="35"/>
    </row>
    <row r="181" spans="1:13" ht="82.5" customHeight="1">
      <c r="A181" s="96"/>
      <c r="B181" s="136"/>
      <c r="C181" s="42"/>
      <c r="D181" s="36"/>
      <c r="E181" s="37"/>
      <c r="F181" s="38"/>
      <c r="G181" s="39"/>
      <c r="H181" s="39"/>
      <c r="I181" s="39"/>
      <c r="J181" s="83"/>
      <c r="K181" s="40"/>
      <c r="L181" s="41"/>
      <c r="M181" s="35"/>
    </row>
    <row r="182" spans="1:13" ht="82.5" customHeight="1">
      <c r="A182" s="96"/>
      <c r="B182" s="136"/>
      <c r="C182" s="42"/>
      <c r="D182" s="36"/>
      <c r="E182" s="37"/>
      <c r="F182" s="38"/>
      <c r="G182" s="39"/>
      <c r="H182" s="39"/>
      <c r="I182" s="39"/>
      <c r="J182" s="83"/>
      <c r="K182" s="40"/>
      <c r="L182" s="41"/>
      <c r="M182" s="35"/>
    </row>
    <row r="183" spans="1:13" ht="82.5" customHeight="1">
      <c r="A183" s="96"/>
      <c r="B183" s="136"/>
      <c r="C183" s="42"/>
      <c r="D183" s="36"/>
      <c r="E183" s="37"/>
      <c r="F183" s="38"/>
      <c r="G183" s="39"/>
      <c r="H183" s="39"/>
      <c r="I183" s="39"/>
      <c r="J183" s="83"/>
      <c r="K183" s="40"/>
      <c r="L183" s="41"/>
      <c r="M183" s="35"/>
    </row>
    <row r="184" spans="1:13" ht="82.5" customHeight="1">
      <c r="A184" s="96"/>
      <c r="B184" s="136"/>
      <c r="C184" s="42"/>
      <c r="D184" s="36"/>
      <c r="E184" s="37"/>
      <c r="F184" s="38"/>
      <c r="G184" s="39"/>
      <c r="H184" s="39"/>
      <c r="I184" s="39"/>
      <c r="J184" s="83"/>
      <c r="K184" s="40"/>
      <c r="L184" s="41"/>
      <c r="M184" s="35"/>
    </row>
    <row r="185" spans="1:13" ht="82.5" customHeight="1">
      <c r="A185" s="96"/>
      <c r="B185" s="136"/>
      <c r="C185" s="42"/>
      <c r="D185" s="36"/>
      <c r="E185" s="37"/>
      <c r="F185" s="38"/>
      <c r="G185" s="39"/>
      <c r="H185" s="39"/>
      <c r="I185" s="39"/>
      <c r="J185" s="83"/>
      <c r="K185" s="40"/>
      <c r="L185" s="41"/>
      <c r="M185" s="35"/>
    </row>
    <row r="186" spans="1:13" ht="82.5" customHeight="1">
      <c r="A186" s="96"/>
      <c r="B186" s="136"/>
      <c r="C186" s="42"/>
      <c r="D186" s="36"/>
      <c r="E186" s="37"/>
      <c r="F186" s="38"/>
      <c r="G186" s="39"/>
      <c r="H186" s="39"/>
      <c r="I186" s="39"/>
      <c r="J186" s="83"/>
      <c r="K186" s="40"/>
      <c r="L186" s="41"/>
      <c r="M186" s="35"/>
    </row>
    <row r="187" spans="1:13" ht="82.5" customHeight="1">
      <c r="A187" s="96"/>
      <c r="B187" s="136"/>
      <c r="C187" s="42"/>
      <c r="D187" s="36"/>
      <c r="E187" s="37"/>
      <c r="F187" s="38"/>
      <c r="G187" s="39"/>
      <c r="H187" s="39"/>
      <c r="I187" s="39"/>
      <c r="J187" s="83"/>
      <c r="K187" s="40"/>
      <c r="L187" s="41"/>
      <c r="M187" s="35"/>
    </row>
    <row r="188" spans="1:13" ht="82.5" customHeight="1">
      <c r="A188" s="96"/>
      <c r="B188" s="136"/>
      <c r="C188" s="42"/>
      <c r="D188" s="36"/>
      <c r="E188" s="37"/>
      <c r="F188" s="38"/>
      <c r="G188" s="39"/>
      <c r="H188" s="39"/>
      <c r="I188" s="39"/>
      <c r="J188" s="83"/>
      <c r="K188" s="40"/>
      <c r="L188" s="41"/>
      <c r="M188" s="35"/>
    </row>
    <row r="189" spans="1:13" ht="82.5" customHeight="1">
      <c r="A189" s="96"/>
      <c r="B189" s="136"/>
      <c r="C189" s="42"/>
      <c r="D189" s="36"/>
      <c r="E189" s="37"/>
      <c r="F189" s="38"/>
      <c r="G189" s="39"/>
      <c r="H189" s="39"/>
      <c r="I189" s="39"/>
      <c r="J189" s="83"/>
      <c r="K189" s="40"/>
      <c r="L189" s="41"/>
      <c r="M189" s="35"/>
    </row>
    <row r="190" spans="1:13" ht="82.5" customHeight="1">
      <c r="A190" s="96"/>
      <c r="B190" s="136"/>
      <c r="C190" s="42"/>
      <c r="D190" s="36"/>
      <c r="E190" s="37"/>
      <c r="F190" s="38"/>
      <c r="G190" s="39"/>
      <c r="H190" s="39"/>
      <c r="I190" s="39"/>
      <c r="J190" s="83"/>
      <c r="K190" s="40"/>
      <c r="L190" s="41"/>
      <c r="M190" s="35"/>
    </row>
    <row r="191" spans="1:13" ht="82.5" customHeight="1">
      <c r="A191" s="96"/>
      <c r="B191" s="136"/>
      <c r="C191" s="42"/>
      <c r="D191" s="36"/>
      <c r="E191" s="37"/>
      <c r="F191" s="38"/>
      <c r="G191" s="39"/>
      <c r="H191" s="39"/>
      <c r="I191" s="39"/>
      <c r="J191" s="83"/>
      <c r="K191" s="40"/>
      <c r="L191" s="41"/>
      <c r="M191" s="35"/>
    </row>
    <row r="192" spans="1:13" ht="82.5" customHeight="1">
      <c r="A192" s="96"/>
      <c r="B192" s="136"/>
      <c r="C192" s="42"/>
      <c r="D192" s="36"/>
      <c r="E192" s="37"/>
      <c r="F192" s="38"/>
      <c r="G192" s="39"/>
      <c r="H192" s="39"/>
      <c r="I192" s="39"/>
      <c r="J192" s="83"/>
      <c r="K192" s="40"/>
      <c r="L192" s="41"/>
      <c r="M192" s="35"/>
    </row>
    <row r="193" spans="1:13" ht="82.5" customHeight="1">
      <c r="A193" s="96"/>
      <c r="B193" s="136"/>
      <c r="C193" s="42"/>
      <c r="D193" s="36"/>
      <c r="E193" s="37"/>
      <c r="F193" s="38"/>
      <c r="G193" s="39"/>
      <c r="H193" s="39"/>
      <c r="I193" s="39"/>
      <c r="J193" s="83"/>
      <c r="K193" s="40"/>
      <c r="L193" s="41"/>
      <c r="M193" s="35"/>
    </row>
    <row r="194" spans="1:13" ht="82.5" customHeight="1">
      <c r="A194" s="96"/>
      <c r="B194" s="136"/>
      <c r="C194" s="42"/>
      <c r="D194" s="36"/>
      <c r="E194" s="37"/>
      <c r="F194" s="38"/>
      <c r="G194" s="39"/>
      <c r="H194" s="39"/>
      <c r="I194" s="39"/>
      <c r="J194" s="83"/>
      <c r="K194" s="40"/>
      <c r="L194" s="41"/>
      <c r="M194" s="35"/>
    </row>
    <row r="195" spans="1:13" ht="82.5" customHeight="1">
      <c r="A195" s="96"/>
      <c r="B195" s="136"/>
      <c r="C195" s="42"/>
      <c r="D195" s="36"/>
      <c r="E195" s="37"/>
      <c r="F195" s="38"/>
      <c r="G195" s="39"/>
      <c r="H195" s="39"/>
      <c r="I195" s="39"/>
      <c r="J195" s="83"/>
      <c r="K195" s="40"/>
      <c r="L195" s="41"/>
      <c r="M195" s="35"/>
    </row>
    <row r="196" spans="1:13" ht="82.5" customHeight="1">
      <c r="A196" s="96"/>
      <c r="B196" s="136"/>
      <c r="C196" s="42"/>
      <c r="D196" s="36"/>
      <c r="E196" s="37"/>
      <c r="F196" s="38"/>
      <c r="G196" s="39"/>
      <c r="H196" s="39"/>
      <c r="I196" s="39"/>
      <c r="J196" s="83"/>
      <c r="K196" s="40"/>
      <c r="L196" s="41"/>
      <c r="M196" s="35"/>
    </row>
    <row r="197" spans="1:13" ht="82.5" customHeight="1">
      <c r="A197" s="96"/>
      <c r="B197" s="136"/>
      <c r="C197" s="42"/>
      <c r="D197" s="36"/>
      <c r="E197" s="37"/>
      <c r="F197" s="38"/>
      <c r="G197" s="39"/>
      <c r="H197" s="39"/>
      <c r="I197" s="39"/>
      <c r="J197" s="83"/>
      <c r="K197" s="40"/>
      <c r="L197" s="41"/>
      <c r="M197" s="35"/>
    </row>
    <row r="198" spans="1:13" ht="82.5" customHeight="1">
      <c r="A198" s="96"/>
      <c r="B198" s="136"/>
      <c r="C198" s="42"/>
      <c r="D198" s="36"/>
      <c r="E198" s="37"/>
      <c r="F198" s="38"/>
      <c r="G198" s="39"/>
      <c r="H198" s="39"/>
      <c r="I198" s="39"/>
      <c r="J198" s="83"/>
      <c r="K198" s="40"/>
      <c r="L198" s="41"/>
      <c r="M198" s="35"/>
    </row>
    <row r="199" spans="1:13" ht="82.5" customHeight="1">
      <c r="A199" s="96"/>
      <c r="B199" s="136"/>
      <c r="C199" s="42"/>
      <c r="D199" s="36"/>
      <c r="E199" s="37"/>
      <c r="F199" s="38"/>
      <c r="G199" s="39"/>
      <c r="H199" s="39"/>
      <c r="I199" s="39"/>
      <c r="J199" s="83"/>
      <c r="K199" s="40"/>
      <c r="L199" s="41"/>
      <c r="M199" s="35"/>
    </row>
    <row r="200" spans="1:13" ht="82.5" customHeight="1">
      <c r="A200" s="96"/>
      <c r="B200" s="136"/>
      <c r="C200" s="42"/>
      <c r="D200" s="36"/>
      <c r="E200" s="37"/>
      <c r="F200" s="38"/>
      <c r="G200" s="39"/>
      <c r="H200" s="39"/>
      <c r="I200" s="39"/>
      <c r="J200" s="83"/>
      <c r="K200" s="40"/>
      <c r="L200" s="41"/>
      <c r="M200" s="35"/>
    </row>
    <row r="201" spans="1:13" ht="82.5" customHeight="1">
      <c r="A201" s="96"/>
      <c r="B201" s="136"/>
      <c r="C201" s="42"/>
      <c r="D201" s="36"/>
      <c r="E201" s="37"/>
      <c r="F201" s="38"/>
      <c r="G201" s="39"/>
      <c r="H201" s="39"/>
      <c r="I201" s="39"/>
      <c r="J201" s="83"/>
      <c r="K201" s="40"/>
      <c r="L201" s="41"/>
      <c r="M201" s="35"/>
    </row>
    <row r="202" spans="1:13" ht="82.5" customHeight="1">
      <c r="A202" s="96"/>
      <c r="B202" s="136"/>
      <c r="C202" s="42"/>
      <c r="D202" s="36"/>
      <c r="E202" s="37"/>
      <c r="F202" s="38"/>
      <c r="G202" s="39"/>
      <c r="H202" s="39"/>
      <c r="I202" s="39"/>
      <c r="J202" s="83"/>
      <c r="K202" s="40"/>
      <c r="L202" s="41"/>
      <c r="M202" s="35"/>
    </row>
    <row r="203" spans="1:13" ht="82.5" customHeight="1">
      <c r="A203" s="96"/>
      <c r="B203" s="136"/>
      <c r="C203" s="42"/>
      <c r="D203" s="36"/>
      <c r="E203" s="37"/>
      <c r="F203" s="38"/>
      <c r="G203" s="39"/>
      <c r="H203" s="39"/>
      <c r="I203" s="39"/>
      <c r="J203" s="83"/>
      <c r="K203" s="40"/>
      <c r="L203" s="41"/>
      <c r="M203" s="35"/>
    </row>
    <row r="204" spans="1:13" ht="82.5" customHeight="1">
      <c r="A204" s="96"/>
      <c r="B204" s="136"/>
      <c r="C204" s="42"/>
      <c r="D204" s="36"/>
      <c r="E204" s="37"/>
      <c r="F204" s="38"/>
      <c r="G204" s="39"/>
      <c r="H204" s="39"/>
      <c r="I204" s="39"/>
      <c r="J204" s="83"/>
      <c r="K204" s="40"/>
      <c r="L204" s="41"/>
      <c r="M204" s="35"/>
    </row>
    <row r="205" spans="1:13" ht="82.5" customHeight="1">
      <c r="A205" s="96"/>
      <c r="B205" s="136"/>
      <c r="C205" s="42"/>
      <c r="D205" s="36"/>
      <c r="E205" s="37"/>
      <c r="F205" s="38"/>
      <c r="G205" s="39"/>
      <c r="H205" s="39"/>
      <c r="I205" s="39"/>
      <c r="J205" s="83"/>
      <c r="K205" s="40"/>
      <c r="L205" s="41"/>
      <c r="M205" s="35"/>
    </row>
    <row r="206" spans="1:13" ht="82.5" customHeight="1">
      <c r="A206" s="96"/>
      <c r="B206" s="136"/>
      <c r="C206" s="42"/>
      <c r="D206" s="36"/>
      <c r="E206" s="37"/>
      <c r="F206" s="38"/>
      <c r="G206" s="39"/>
      <c r="H206" s="39"/>
      <c r="I206" s="39"/>
      <c r="J206" s="83"/>
      <c r="K206" s="40"/>
      <c r="L206" s="41"/>
      <c r="M206" s="35"/>
    </row>
    <row r="207" spans="1:13" ht="82.5" customHeight="1">
      <c r="A207" s="96"/>
      <c r="B207" s="136"/>
      <c r="C207" s="42"/>
      <c r="D207" s="36"/>
      <c r="E207" s="37"/>
      <c r="F207" s="38"/>
      <c r="G207" s="39"/>
      <c r="H207" s="39"/>
      <c r="I207" s="39"/>
      <c r="J207" s="83"/>
      <c r="K207" s="40"/>
      <c r="L207" s="41"/>
      <c r="M207" s="35"/>
    </row>
    <row r="208" spans="1:13" ht="82.5" customHeight="1">
      <c r="A208" s="96"/>
      <c r="B208" s="136"/>
      <c r="C208" s="42"/>
      <c r="D208" s="36"/>
      <c r="E208" s="37"/>
      <c r="F208" s="38"/>
      <c r="G208" s="39"/>
      <c r="H208" s="39"/>
      <c r="I208" s="39"/>
      <c r="J208" s="83"/>
      <c r="K208" s="40"/>
      <c r="L208" s="41"/>
      <c r="M208" s="35"/>
    </row>
    <row r="209" spans="1:13" ht="82.5" customHeight="1">
      <c r="A209" s="96"/>
      <c r="B209" s="136"/>
      <c r="C209" s="42"/>
      <c r="D209" s="36"/>
      <c r="E209" s="37"/>
      <c r="F209" s="38"/>
      <c r="G209" s="39"/>
      <c r="H209" s="39"/>
      <c r="I209" s="39"/>
      <c r="J209" s="83"/>
      <c r="K209" s="40"/>
      <c r="L209" s="41"/>
      <c r="M209" s="35"/>
    </row>
    <row r="210" spans="1:13" ht="82.5" customHeight="1">
      <c r="A210" s="96"/>
      <c r="B210" s="136"/>
      <c r="C210" s="42"/>
      <c r="D210" s="36"/>
      <c r="E210" s="37"/>
      <c r="F210" s="38"/>
      <c r="G210" s="39"/>
      <c r="H210" s="39"/>
      <c r="I210" s="39"/>
      <c r="J210" s="83"/>
      <c r="K210" s="40"/>
      <c r="L210" s="41"/>
      <c r="M210" s="35"/>
    </row>
    <row r="211" spans="1:13" ht="82.5" customHeight="1">
      <c r="A211" s="96"/>
      <c r="B211" s="136"/>
      <c r="C211" s="42"/>
      <c r="D211" s="36"/>
      <c r="E211" s="37"/>
      <c r="F211" s="38"/>
      <c r="G211" s="39"/>
      <c r="H211" s="39"/>
      <c r="I211" s="39"/>
      <c r="J211" s="83"/>
      <c r="K211" s="40"/>
      <c r="L211" s="41"/>
      <c r="M211" s="35"/>
    </row>
    <row r="212" spans="1:13" ht="82.5" customHeight="1">
      <c r="A212" s="96"/>
      <c r="B212" s="136"/>
      <c r="C212" s="42"/>
      <c r="D212" s="36"/>
      <c r="E212" s="37"/>
      <c r="F212" s="38"/>
      <c r="G212" s="39"/>
      <c r="H212" s="39"/>
      <c r="I212" s="39"/>
      <c r="J212" s="83"/>
      <c r="K212" s="40"/>
      <c r="L212" s="41"/>
      <c r="M212" s="35"/>
    </row>
    <row r="213" spans="1:13" ht="82.5" customHeight="1">
      <c r="A213" s="96"/>
      <c r="B213" s="136"/>
      <c r="C213" s="42"/>
      <c r="D213" s="36"/>
      <c r="E213" s="37"/>
      <c r="F213" s="38"/>
      <c r="G213" s="39"/>
      <c r="H213" s="39"/>
      <c r="I213" s="39"/>
      <c r="J213" s="83"/>
      <c r="K213" s="40"/>
      <c r="L213" s="41"/>
      <c r="M213" s="35"/>
    </row>
    <row r="214" spans="1:13" ht="82.5" customHeight="1">
      <c r="A214" s="96"/>
      <c r="B214" s="136"/>
      <c r="C214" s="42"/>
      <c r="D214" s="36"/>
      <c r="E214" s="37"/>
      <c r="F214" s="38"/>
      <c r="G214" s="39"/>
      <c r="H214" s="39"/>
      <c r="I214" s="39"/>
      <c r="J214" s="83"/>
      <c r="K214" s="40"/>
      <c r="L214" s="41"/>
      <c r="M214" s="35"/>
    </row>
    <row r="215" spans="1:13" ht="82.5" customHeight="1">
      <c r="A215" s="96"/>
      <c r="B215" s="136"/>
      <c r="C215" s="42"/>
      <c r="D215" s="36"/>
      <c r="E215" s="37"/>
      <c r="F215" s="38"/>
      <c r="G215" s="39"/>
      <c r="H215" s="39"/>
      <c r="I215" s="39"/>
      <c r="J215" s="83"/>
      <c r="K215" s="40"/>
      <c r="L215" s="41"/>
      <c r="M215" s="35"/>
    </row>
    <row r="216" spans="1:13" ht="82.5" customHeight="1">
      <c r="A216" s="96"/>
      <c r="B216" s="136"/>
      <c r="C216" s="42"/>
      <c r="D216" s="36"/>
      <c r="E216" s="37"/>
      <c r="F216" s="38"/>
      <c r="G216" s="39"/>
      <c r="H216" s="39"/>
      <c r="I216" s="39"/>
      <c r="J216" s="83"/>
      <c r="K216" s="40"/>
      <c r="L216" s="41"/>
      <c r="M216" s="35"/>
    </row>
    <row r="217" spans="1:13" s="116" customFormat="1" ht="96" customHeight="1">
      <c r="A217" s="105" t="str">
        <f t="shared" ref="A217:A280" si="5">D217&amp;M217</f>
        <v>23EB0049ADVANCE PAYMENT BOND</v>
      </c>
      <c r="B217" s="106">
        <v>57</v>
      </c>
      <c r="C217" s="119" t="s">
        <v>75</v>
      </c>
      <c r="D217" s="108" t="s">
        <v>787</v>
      </c>
      <c r="E217" s="109" t="s">
        <v>788</v>
      </c>
      <c r="F217" s="110">
        <v>1454581.61</v>
      </c>
      <c r="G217" s="111">
        <v>44971</v>
      </c>
      <c r="H217" s="111">
        <v>44971</v>
      </c>
      <c r="I217" s="111">
        <v>45336</v>
      </c>
      <c r="J217" s="113" t="s">
        <v>30</v>
      </c>
      <c r="K217" s="114" t="s">
        <v>947</v>
      </c>
      <c r="L217" s="115" t="s">
        <v>32</v>
      </c>
      <c r="M217" s="107" t="s">
        <v>34</v>
      </c>
    </row>
    <row r="218" spans="1:13" s="116" customFormat="1" ht="96" customHeight="1">
      <c r="A218" s="105" t="str">
        <f t="shared" si="5"/>
        <v>23EB0040ADVANCE PAYMENT BOND</v>
      </c>
      <c r="B218" s="106">
        <v>49</v>
      </c>
      <c r="C218" s="119" t="s">
        <v>655</v>
      </c>
      <c r="D218" s="108" t="s">
        <v>771</v>
      </c>
      <c r="E218" s="109" t="s">
        <v>772</v>
      </c>
      <c r="F218" s="110">
        <v>1439351.88</v>
      </c>
      <c r="G218" s="111">
        <v>44971</v>
      </c>
      <c r="H218" s="111">
        <v>44971</v>
      </c>
      <c r="I218" s="111">
        <v>45336</v>
      </c>
      <c r="J218" s="113" t="s">
        <v>30</v>
      </c>
      <c r="K218" s="114" t="s">
        <v>948</v>
      </c>
      <c r="L218" s="115" t="s">
        <v>32</v>
      </c>
      <c r="M218" s="107" t="s">
        <v>34</v>
      </c>
    </row>
    <row r="219" spans="1:13" s="116" customFormat="1" ht="96" customHeight="1">
      <c r="A219" s="105" t="str">
        <f t="shared" si="5"/>
        <v>23EB0060ADVANCE PAYMENT BOND</v>
      </c>
      <c r="B219" s="106">
        <v>57</v>
      </c>
      <c r="C219" s="119" t="s">
        <v>75</v>
      </c>
      <c r="D219" s="108" t="s">
        <v>791</v>
      </c>
      <c r="E219" s="109" t="s">
        <v>792</v>
      </c>
      <c r="F219" s="110">
        <v>727331.49</v>
      </c>
      <c r="G219" s="111">
        <v>44971</v>
      </c>
      <c r="H219" s="111">
        <v>44971</v>
      </c>
      <c r="I219" s="111">
        <v>45336</v>
      </c>
      <c r="J219" s="113" t="s">
        <v>30</v>
      </c>
      <c r="K219" s="114" t="s">
        <v>949</v>
      </c>
      <c r="L219" s="115" t="s">
        <v>32</v>
      </c>
      <c r="M219" s="107" t="s">
        <v>34</v>
      </c>
    </row>
    <row r="220" spans="1:13" s="116" customFormat="1" ht="96" customHeight="1">
      <c r="A220" s="105" t="str">
        <f t="shared" si="5"/>
        <v>23EB0019ADVANCE PAYMENT BOND</v>
      </c>
      <c r="B220" s="106">
        <v>47</v>
      </c>
      <c r="C220" s="119" t="s">
        <v>766</v>
      </c>
      <c r="D220" s="108" t="s">
        <v>767</v>
      </c>
      <c r="E220" s="109" t="s">
        <v>768</v>
      </c>
      <c r="F220" s="110">
        <v>7129500.0499999998</v>
      </c>
      <c r="G220" s="111">
        <v>44971</v>
      </c>
      <c r="H220" s="111">
        <v>44971</v>
      </c>
      <c r="I220" s="111">
        <v>45336</v>
      </c>
      <c r="J220" s="113" t="s">
        <v>30</v>
      </c>
      <c r="K220" s="114" t="s">
        <v>950</v>
      </c>
      <c r="L220" s="115" t="s">
        <v>32</v>
      </c>
      <c r="M220" s="107" t="s">
        <v>34</v>
      </c>
    </row>
    <row r="221" spans="1:13" s="116" customFormat="1" ht="96" customHeight="1">
      <c r="A221" s="105" t="str">
        <f t="shared" si="5"/>
        <v>23EB0053ADVANCE PAYMENT BOND</v>
      </c>
      <c r="B221" s="106">
        <v>51</v>
      </c>
      <c r="C221" s="119" t="s">
        <v>43</v>
      </c>
      <c r="D221" s="108" t="s">
        <v>775</v>
      </c>
      <c r="E221" s="109" t="s">
        <v>776</v>
      </c>
      <c r="F221" s="110">
        <v>735640.98</v>
      </c>
      <c r="G221" s="111">
        <v>44971</v>
      </c>
      <c r="H221" s="111">
        <v>44971</v>
      </c>
      <c r="I221" s="111">
        <v>45336</v>
      </c>
      <c r="J221" s="113" t="s">
        <v>30</v>
      </c>
      <c r="K221" s="114" t="s">
        <v>951</v>
      </c>
      <c r="L221" s="115" t="s">
        <v>32</v>
      </c>
      <c r="M221" s="107" t="s">
        <v>34</v>
      </c>
    </row>
    <row r="222" spans="1:13" s="116" customFormat="1" ht="96" customHeight="1">
      <c r="A222" s="105" t="str">
        <f t="shared" si="5"/>
        <v>23EB0042ADVANCE PAYMENT BOND</v>
      </c>
      <c r="B222" s="106">
        <v>53</v>
      </c>
      <c r="C222" s="119" t="s">
        <v>43</v>
      </c>
      <c r="D222" s="108" t="s">
        <v>779</v>
      </c>
      <c r="E222" s="109" t="s">
        <v>780</v>
      </c>
      <c r="F222" s="110">
        <v>1388524.32</v>
      </c>
      <c r="G222" s="111">
        <v>44971</v>
      </c>
      <c r="H222" s="111">
        <v>44971</v>
      </c>
      <c r="I222" s="111">
        <v>45336</v>
      </c>
      <c r="J222" s="113" t="s">
        <v>30</v>
      </c>
      <c r="K222" s="114" t="s">
        <v>952</v>
      </c>
      <c r="L222" s="115" t="s">
        <v>32</v>
      </c>
      <c r="M222" s="107" t="s">
        <v>34</v>
      </c>
    </row>
    <row r="223" spans="1:13" s="116" customFormat="1" ht="129" customHeight="1">
      <c r="A223" s="105" t="str">
        <f t="shared" si="5"/>
        <v>23EB0043-R1ADVANCE PAYMENT BOND</v>
      </c>
      <c r="B223" s="106">
        <v>53</v>
      </c>
      <c r="C223" s="119" t="s">
        <v>43</v>
      </c>
      <c r="D223" s="108" t="s">
        <v>783</v>
      </c>
      <c r="E223" s="109" t="s">
        <v>784</v>
      </c>
      <c r="F223" s="110">
        <v>735411.81</v>
      </c>
      <c r="G223" s="111">
        <v>44971</v>
      </c>
      <c r="H223" s="111">
        <v>44971</v>
      </c>
      <c r="I223" s="111">
        <v>45336</v>
      </c>
      <c r="J223" s="113" t="s">
        <v>30</v>
      </c>
      <c r="K223" s="114" t="s">
        <v>953</v>
      </c>
      <c r="L223" s="115" t="s">
        <v>32</v>
      </c>
      <c r="M223" s="107" t="s">
        <v>34</v>
      </c>
    </row>
    <row r="224" spans="1:13" s="116" customFormat="1" ht="126" customHeight="1">
      <c r="A224" s="105" t="str">
        <f t="shared" si="5"/>
        <v>23EB0026PERFORMANCE BOND</v>
      </c>
      <c r="B224" s="106">
        <v>142</v>
      </c>
      <c r="C224" s="119" t="s">
        <v>36</v>
      </c>
      <c r="D224" s="108" t="s">
        <v>944</v>
      </c>
      <c r="E224" s="109" t="s">
        <v>945</v>
      </c>
      <c r="F224" s="110">
        <v>12981072.99</v>
      </c>
      <c r="G224" s="111">
        <v>44960</v>
      </c>
      <c r="H224" s="111">
        <v>44960</v>
      </c>
      <c r="I224" s="111">
        <v>45691</v>
      </c>
      <c r="J224" s="113" t="s">
        <v>27</v>
      </c>
      <c r="K224" s="114" t="s">
        <v>769</v>
      </c>
      <c r="L224" s="115" t="s">
        <v>32</v>
      </c>
      <c r="M224" s="107" t="s">
        <v>40</v>
      </c>
    </row>
    <row r="225" spans="1:13" s="116" customFormat="1" ht="126" customHeight="1">
      <c r="A225" s="105" t="str">
        <f t="shared" si="5"/>
        <v>23EB0026CONTRACTOR'S ALL RISK POLICY</v>
      </c>
      <c r="B225" s="106">
        <v>142</v>
      </c>
      <c r="C225" s="119" t="s">
        <v>36</v>
      </c>
      <c r="D225" s="108" t="s">
        <v>944</v>
      </c>
      <c r="E225" s="109" t="s">
        <v>945</v>
      </c>
      <c r="F225" s="110">
        <v>43270243.289999999</v>
      </c>
      <c r="G225" s="111">
        <v>44963</v>
      </c>
      <c r="H225" s="111">
        <v>44963</v>
      </c>
      <c r="I225" s="111">
        <v>45328</v>
      </c>
      <c r="J225" s="113" t="s">
        <v>30</v>
      </c>
      <c r="K225" s="114" t="s">
        <v>954</v>
      </c>
      <c r="L225" s="115" t="s">
        <v>32</v>
      </c>
      <c r="M225" s="107" t="s">
        <v>31</v>
      </c>
    </row>
    <row r="226" spans="1:13" s="116" customFormat="1" ht="82.5" customHeight="1">
      <c r="A226" s="105" t="str">
        <f t="shared" si="5"/>
        <v>23EB0067-R1ADVANCE PAYMENT BOND</v>
      </c>
      <c r="B226" s="106">
        <v>117</v>
      </c>
      <c r="C226" s="119" t="s">
        <v>895</v>
      </c>
      <c r="D226" s="108" t="s">
        <v>904</v>
      </c>
      <c r="E226" s="109" t="s">
        <v>905</v>
      </c>
      <c r="F226" s="110">
        <v>1440976</v>
      </c>
      <c r="G226" s="111">
        <v>44967</v>
      </c>
      <c r="H226" s="111">
        <v>44967</v>
      </c>
      <c r="I226" s="111">
        <v>45332</v>
      </c>
      <c r="J226" s="113" t="s">
        <v>30</v>
      </c>
      <c r="K226" s="114" t="s">
        <v>955</v>
      </c>
      <c r="L226" s="115" t="s">
        <v>35</v>
      </c>
      <c r="M226" s="107" t="s">
        <v>34</v>
      </c>
    </row>
    <row r="227" spans="1:13" s="116" customFormat="1" ht="82.5" customHeight="1">
      <c r="A227" s="105" t="str">
        <f t="shared" si="5"/>
        <v>23EB0068ADVANCE PAYMENT BOND</v>
      </c>
      <c r="B227" s="106">
        <v>117</v>
      </c>
      <c r="C227" s="119" t="s">
        <v>895</v>
      </c>
      <c r="D227" s="108" t="s">
        <v>896</v>
      </c>
      <c r="E227" s="109" t="s">
        <v>897</v>
      </c>
      <c r="F227" s="110">
        <v>727552.5</v>
      </c>
      <c r="G227" s="111">
        <v>44967</v>
      </c>
      <c r="H227" s="111">
        <v>44967</v>
      </c>
      <c r="I227" s="111">
        <v>45332</v>
      </c>
      <c r="J227" s="113" t="s">
        <v>30</v>
      </c>
      <c r="K227" s="114" t="s">
        <v>956</v>
      </c>
      <c r="L227" s="115" t="s">
        <v>35</v>
      </c>
      <c r="M227" s="107" t="s">
        <v>34</v>
      </c>
    </row>
    <row r="228" spans="1:13" s="116" customFormat="1" ht="82.5" customHeight="1">
      <c r="A228" s="105" t="str">
        <f t="shared" si="5"/>
        <v>23EB0064ADVANCE PAYMENT BOND</v>
      </c>
      <c r="B228" s="106">
        <v>118</v>
      </c>
      <c r="C228" s="119" t="s">
        <v>899</v>
      </c>
      <c r="D228" s="108" t="s">
        <v>900</v>
      </c>
      <c r="E228" s="109" t="s">
        <v>901</v>
      </c>
      <c r="F228" s="110">
        <v>1328500</v>
      </c>
      <c r="G228" s="111">
        <v>44967</v>
      </c>
      <c r="H228" s="111">
        <v>44967</v>
      </c>
      <c r="I228" s="111">
        <v>45332</v>
      </c>
      <c r="J228" s="113" t="s">
        <v>30</v>
      </c>
      <c r="K228" s="114" t="s">
        <v>957</v>
      </c>
      <c r="L228" s="115" t="s">
        <v>35</v>
      </c>
      <c r="M228" s="107" t="s">
        <v>34</v>
      </c>
    </row>
    <row r="229" spans="1:13" s="116" customFormat="1" ht="82.5" customHeight="1">
      <c r="A229" s="105" t="str">
        <f t="shared" si="5"/>
        <v>23EB0057ADVANCE PAYMENT BOND</v>
      </c>
      <c r="B229" s="106">
        <v>118</v>
      </c>
      <c r="C229" s="119" t="s">
        <v>919</v>
      </c>
      <c r="D229" s="108" t="s">
        <v>958</v>
      </c>
      <c r="E229" s="109" t="s">
        <v>959</v>
      </c>
      <c r="F229" s="110">
        <v>727497.5</v>
      </c>
      <c r="G229" s="111">
        <v>44971</v>
      </c>
      <c r="H229" s="111">
        <v>44971</v>
      </c>
      <c r="I229" s="111">
        <v>45336</v>
      </c>
      <c r="J229" s="113" t="s">
        <v>30</v>
      </c>
      <c r="K229" s="114" t="s">
        <v>960</v>
      </c>
      <c r="L229" s="115" t="s">
        <v>35</v>
      </c>
      <c r="M229" s="107" t="s">
        <v>34</v>
      </c>
    </row>
    <row r="230" spans="1:13" s="116" customFormat="1" ht="102" customHeight="1">
      <c r="A230" s="105" t="str">
        <f t="shared" si="5"/>
        <v>23EB0056CONTRACTOR'S ALL RISK POLICY</v>
      </c>
      <c r="B230" s="106">
        <v>156</v>
      </c>
      <c r="C230" s="119" t="s">
        <v>961</v>
      </c>
      <c r="D230" s="108" t="s">
        <v>962</v>
      </c>
      <c r="E230" s="109" t="s">
        <v>963</v>
      </c>
      <c r="F230" s="110">
        <v>6788841.7199999997</v>
      </c>
      <c r="G230" s="111">
        <v>44967</v>
      </c>
      <c r="H230" s="111">
        <v>44967</v>
      </c>
      <c r="I230" s="111">
        <v>45332</v>
      </c>
      <c r="J230" s="113" t="s">
        <v>30</v>
      </c>
      <c r="K230" s="114" t="s">
        <v>964</v>
      </c>
      <c r="L230" s="115" t="s">
        <v>32</v>
      </c>
      <c r="M230" s="107" t="s">
        <v>31</v>
      </c>
    </row>
    <row r="231" spans="1:13" s="116" customFormat="1" ht="102" customHeight="1">
      <c r="A231" s="105" t="str">
        <f t="shared" si="5"/>
        <v>23EB0056PERFORMANCE BOND</v>
      </c>
      <c r="B231" s="106">
        <v>156</v>
      </c>
      <c r="C231" s="119" t="s">
        <v>961</v>
      </c>
      <c r="D231" s="108" t="s">
        <v>962</v>
      </c>
      <c r="E231" s="109" t="s">
        <v>963</v>
      </c>
      <c r="F231" s="110">
        <v>2036652.52</v>
      </c>
      <c r="G231" s="111">
        <v>44967</v>
      </c>
      <c r="H231" s="111">
        <v>44967</v>
      </c>
      <c r="I231" s="111">
        <v>45698</v>
      </c>
      <c r="J231" s="113" t="s">
        <v>27</v>
      </c>
      <c r="K231" s="114" t="s">
        <v>965</v>
      </c>
      <c r="L231" s="115" t="s">
        <v>32</v>
      </c>
      <c r="M231" s="107" t="s">
        <v>40</v>
      </c>
    </row>
    <row r="232" spans="1:13" s="116" customFormat="1" ht="102" customHeight="1">
      <c r="A232" s="105" t="str">
        <f t="shared" si="5"/>
        <v>23EB0056ADVANCE PAYMENT BOND</v>
      </c>
      <c r="B232" s="106">
        <v>156</v>
      </c>
      <c r="C232" s="119" t="s">
        <v>961</v>
      </c>
      <c r="D232" s="108" t="s">
        <v>962</v>
      </c>
      <c r="E232" s="109" t="s">
        <v>963</v>
      </c>
      <c r="F232" s="110">
        <v>1018326.26</v>
      </c>
      <c r="G232" s="111">
        <v>44977</v>
      </c>
      <c r="H232" s="111">
        <v>44977</v>
      </c>
      <c r="I232" s="111">
        <v>45332</v>
      </c>
      <c r="J232" s="113" t="s">
        <v>30</v>
      </c>
      <c r="K232" s="114" t="s">
        <v>966</v>
      </c>
      <c r="L232" s="115" t="s">
        <v>32</v>
      </c>
      <c r="M232" s="107" t="s">
        <v>34</v>
      </c>
    </row>
    <row r="233" spans="1:13" s="116" customFormat="1" ht="102" customHeight="1">
      <c r="A233" s="105" t="str">
        <f t="shared" si="5"/>
        <v>23EB0057CONTRACTOR'S ALL RISK POLICY</v>
      </c>
      <c r="B233" s="106">
        <v>159</v>
      </c>
      <c r="C233" s="119" t="s">
        <v>919</v>
      </c>
      <c r="D233" s="108" t="s">
        <v>958</v>
      </c>
      <c r="E233" s="109" t="s">
        <v>959</v>
      </c>
      <c r="F233" s="110">
        <v>4849981.83</v>
      </c>
      <c r="G233" s="111">
        <v>44960</v>
      </c>
      <c r="H233" s="111">
        <v>44960</v>
      </c>
      <c r="I233" s="111">
        <v>45325</v>
      </c>
      <c r="J233" s="113" t="s">
        <v>30</v>
      </c>
      <c r="K233" s="114" t="s">
        <v>968</v>
      </c>
      <c r="L233" s="115" t="s">
        <v>28</v>
      </c>
      <c r="M233" s="107" t="s">
        <v>31</v>
      </c>
    </row>
    <row r="234" spans="1:13" s="116" customFormat="1" ht="86.25" customHeight="1">
      <c r="A234" s="105" t="str">
        <f t="shared" si="5"/>
        <v>23EB0022PERFORMANCE BOND</v>
      </c>
      <c r="B234" s="106">
        <v>129</v>
      </c>
      <c r="C234" s="119" t="s">
        <v>919</v>
      </c>
      <c r="D234" s="108" t="s">
        <v>920</v>
      </c>
      <c r="E234" s="109" t="s">
        <v>921</v>
      </c>
      <c r="F234" s="110">
        <v>13183018.76</v>
      </c>
      <c r="G234" s="111">
        <v>44960</v>
      </c>
      <c r="H234" s="111">
        <v>44960</v>
      </c>
      <c r="I234" s="111">
        <v>45691</v>
      </c>
      <c r="J234" s="113" t="s">
        <v>27</v>
      </c>
      <c r="K234" s="114" t="s">
        <v>969</v>
      </c>
      <c r="L234" s="115" t="s">
        <v>28</v>
      </c>
      <c r="M234" s="107" t="s">
        <v>40</v>
      </c>
    </row>
    <row r="235" spans="1:13" s="116" customFormat="1" ht="102" customHeight="1">
      <c r="A235" s="105" t="str">
        <f t="shared" si="5"/>
        <v>23EB0057PERFORMANCE BOND</v>
      </c>
      <c r="B235" s="106">
        <v>159</v>
      </c>
      <c r="C235" s="119" t="s">
        <v>919</v>
      </c>
      <c r="D235" s="108" t="s">
        <v>958</v>
      </c>
      <c r="E235" s="109" t="s">
        <v>959</v>
      </c>
      <c r="F235" s="110">
        <v>1454994.55</v>
      </c>
      <c r="G235" s="111">
        <v>44960</v>
      </c>
      <c r="H235" s="111">
        <v>44960</v>
      </c>
      <c r="I235" s="111">
        <v>45691</v>
      </c>
      <c r="J235" s="113" t="s">
        <v>27</v>
      </c>
      <c r="K235" s="114" t="s">
        <v>970</v>
      </c>
      <c r="L235" s="115" t="s">
        <v>28</v>
      </c>
      <c r="M235" s="107" t="s">
        <v>40</v>
      </c>
    </row>
    <row r="236" spans="1:13" s="116" customFormat="1" ht="102" customHeight="1">
      <c r="A236" s="105" t="str">
        <f t="shared" si="5"/>
        <v>22EB0047RETENTION BOND</v>
      </c>
      <c r="B236" s="106">
        <v>162</v>
      </c>
      <c r="C236" s="119" t="s">
        <v>971</v>
      </c>
      <c r="D236" s="108" t="s">
        <v>972</v>
      </c>
      <c r="E236" s="109" t="s">
        <v>973</v>
      </c>
      <c r="F236" s="110">
        <v>4115750.11</v>
      </c>
      <c r="G236" s="111">
        <v>44972</v>
      </c>
      <c r="H236" s="111">
        <v>44972</v>
      </c>
      <c r="I236" s="111">
        <v>45337</v>
      </c>
      <c r="J236" s="113" t="s">
        <v>30</v>
      </c>
      <c r="K236" s="114" t="s">
        <v>974</v>
      </c>
      <c r="L236" s="115" t="s">
        <v>32</v>
      </c>
      <c r="M236" s="107" t="s">
        <v>33</v>
      </c>
    </row>
    <row r="237" spans="1:13" s="116" customFormat="1" ht="102" customHeight="1">
      <c r="A237" s="105" t="str">
        <f t="shared" si="5"/>
        <v>21EB0028RETENTION BOND</v>
      </c>
      <c r="B237" s="106">
        <v>162</v>
      </c>
      <c r="C237" s="119" t="s">
        <v>58</v>
      </c>
      <c r="D237" s="108" t="s">
        <v>975</v>
      </c>
      <c r="E237" s="109" t="s">
        <v>976</v>
      </c>
      <c r="F237" s="110">
        <v>4115750.11</v>
      </c>
      <c r="G237" s="111">
        <v>44972</v>
      </c>
      <c r="H237" s="111">
        <v>44972</v>
      </c>
      <c r="I237" s="111">
        <v>45337</v>
      </c>
      <c r="J237" s="113" t="s">
        <v>30</v>
      </c>
      <c r="K237" s="114" t="s">
        <v>974</v>
      </c>
      <c r="L237" s="115" t="s">
        <v>32</v>
      </c>
      <c r="M237" s="107" t="s">
        <v>33</v>
      </c>
    </row>
    <row r="238" spans="1:13" s="116" customFormat="1" ht="102" customHeight="1">
      <c r="A238" s="105" t="str">
        <f t="shared" si="5"/>
        <v>23EB0030CONTRACTOR'S ALL RISK POLICY</v>
      </c>
      <c r="B238" s="106">
        <v>164</v>
      </c>
      <c r="C238" s="119" t="s">
        <v>977</v>
      </c>
      <c r="D238" s="108" t="s">
        <v>978</v>
      </c>
      <c r="E238" s="109" t="s">
        <v>979</v>
      </c>
      <c r="F238" s="110">
        <v>43283462.539999999</v>
      </c>
      <c r="G238" s="111">
        <v>44986</v>
      </c>
      <c r="H238" s="111">
        <v>44986</v>
      </c>
      <c r="I238" s="111">
        <v>45214</v>
      </c>
      <c r="J238" s="113" t="s">
        <v>30</v>
      </c>
      <c r="K238" s="114" t="s">
        <v>980</v>
      </c>
      <c r="L238" s="115" t="s">
        <v>69</v>
      </c>
      <c r="M238" s="107" t="s">
        <v>31</v>
      </c>
    </row>
    <row r="239" spans="1:13" s="116" customFormat="1" ht="102" customHeight="1">
      <c r="A239" s="105" t="str">
        <f t="shared" si="5"/>
        <v>23EB0030PERFORMANCE BOND</v>
      </c>
      <c r="B239" s="106">
        <v>164</v>
      </c>
      <c r="C239" s="119" t="s">
        <v>977</v>
      </c>
      <c r="D239" s="108" t="s">
        <v>978</v>
      </c>
      <c r="E239" s="109" t="s">
        <v>979</v>
      </c>
      <c r="F239" s="110">
        <v>12985038.800000001</v>
      </c>
      <c r="G239" s="111">
        <v>44986</v>
      </c>
      <c r="H239" s="111">
        <v>44986</v>
      </c>
      <c r="I239" s="111">
        <v>45717</v>
      </c>
      <c r="J239" s="113" t="s">
        <v>30</v>
      </c>
      <c r="K239" s="114" t="s">
        <v>981</v>
      </c>
      <c r="L239" s="115" t="s">
        <v>69</v>
      </c>
      <c r="M239" s="107" t="s">
        <v>40</v>
      </c>
    </row>
    <row r="240" spans="1:13" s="116" customFormat="1" ht="102" customHeight="1">
      <c r="A240" s="105" t="str">
        <f t="shared" si="5"/>
        <v>23EB0025PERFORMANCE BOND</v>
      </c>
      <c r="B240" s="106">
        <v>166</v>
      </c>
      <c r="C240" s="119" t="s">
        <v>735</v>
      </c>
      <c r="D240" s="108" t="s">
        <v>982</v>
      </c>
      <c r="E240" s="109" t="s">
        <v>983</v>
      </c>
      <c r="F240" s="110">
        <v>14486666.5</v>
      </c>
      <c r="G240" s="111">
        <v>44986</v>
      </c>
      <c r="H240" s="111">
        <v>44986</v>
      </c>
      <c r="I240" s="111">
        <v>45717</v>
      </c>
      <c r="J240" s="113" t="s">
        <v>30</v>
      </c>
      <c r="K240" s="114" t="s">
        <v>984</v>
      </c>
      <c r="L240" s="115" t="s">
        <v>69</v>
      </c>
      <c r="M240" s="107" t="s">
        <v>40</v>
      </c>
    </row>
    <row r="241" spans="1:13" s="116" customFormat="1" ht="102" customHeight="1">
      <c r="A241" s="105" t="str">
        <f t="shared" si="5"/>
        <v>23EB0025CONTRACTOR'S ALL RISK POLICY</v>
      </c>
      <c r="B241" s="106">
        <v>166</v>
      </c>
      <c r="C241" s="119" t="s">
        <v>735</v>
      </c>
      <c r="D241" s="108" t="s">
        <v>982</v>
      </c>
      <c r="E241" s="109" t="s">
        <v>983</v>
      </c>
      <c r="F241" s="110">
        <v>48288888.270000003</v>
      </c>
      <c r="G241" s="111">
        <v>44986</v>
      </c>
      <c r="H241" s="111">
        <v>44986</v>
      </c>
      <c r="I241" s="111">
        <v>45214</v>
      </c>
      <c r="J241" s="113" t="s">
        <v>30</v>
      </c>
      <c r="K241" s="114" t="s">
        <v>985</v>
      </c>
      <c r="L241" s="115" t="s">
        <v>69</v>
      </c>
      <c r="M241" s="107" t="s">
        <v>31</v>
      </c>
    </row>
    <row r="242" spans="1:13" s="116" customFormat="1" ht="102" customHeight="1">
      <c r="A242" s="105" t="str">
        <f t="shared" si="5"/>
        <v>23EB0031CONTRACTOR'S ALL RISK POLICY</v>
      </c>
      <c r="B242" s="106">
        <v>168</v>
      </c>
      <c r="C242" s="119" t="s">
        <v>919</v>
      </c>
      <c r="D242" s="108" t="s">
        <v>986</v>
      </c>
      <c r="E242" s="109" t="s">
        <v>987</v>
      </c>
      <c r="F242" s="110">
        <v>43626648.240000002</v>
      </c>
      <c r="G242" s="111">
        <v>44986</v>
      </c>
      <c r="H242" s="111">
        <v>44986</v>
      </c>
      <c r="I242" s="111">
        <v>45214</v>
      </c>
      <c r="J242" s="113" t="s">
        <v>30</v>
      </c>
      <c r="K242" s="114" t="s">
        <v>988</v>
      </c>
      <c r="L242" s="115" t="s">
        <v>69</v>
      </c>
      <c r="M242" s="107" t="s">
        <v>31</v>
      </c>
    </row>
    <row r="243" spans="1:13" s="116" customFormat="1" ht="102" customHeight="1">
      <c r="A243" s="105" t="str">
        <f t="shared" si="5"/>
        <v>23EB0031PERFORMANCE BOND</v>
      </c>
      <c r="B243" s="106">
        <v>168</v>
      </c>
      <c r="C243" s="119" t="s">
        <v>919</v>
      </c>
      <c r="D243" s="108" t="s">
        <v>986</v>
      </c>
      <c r="E243" s="109" t="s">
        <v>987</v>
      </c>
      <c r="F243" s="110">
        <v>13087994.5</v>
      </c>
      <c r="G243" s="111">
        <v>44986</v>
      </c>
      <c r="H243" s="111">
        <v>44986</v>
      </c>
      <c r="I243" s="111">
        <v>45717</v>
      </c>
      <c r="J243" s="113" t="s">
        <v>30</v>
      </c>
      <c r="K243" s="114" t="s">
        <v>989</v>
      </c>
      <c r="L243" s="115" t="s">
        <v>69</v>
      </c>
      <c r="M243" s="107" t="s">
        <v>40</v>
      </c>
    </row>
    <row r="244" spans="1:13" s="116" customFormat="1" ht="102" customHeight="1">
      <c r="A244" s="105" t="str">
        <f t="shared" si="5"/>
        <v>22EB0098RETENTION BOND</v>
      </c>
      <c r="B244" s="106">
        <v>170</v>
      </c>
      <c r="C244" s="119" t="s">
        <v>36</v>
      </c>
      <c r="D244" s="108" t="s">
        <v>223</v>
      </c>
      <c r="E244" s="109" t="s">
        <v>224</v>
      </c>
      <c r="F244" s="110">
        <v>4947352</v>
      </c>
      <c r="G244" s="111">
        <v>44979</v>
      </c>
      <c r="H244" s="111">
        <v>44979</v>
      </c>
      <c r="I244" s="111">
        <v>45344</v>
      </c>
      <c r="J244" s="113" t="s">
        <v>30</v>
      </c>
      <c r="K244" s="114" t="s">
        <v>990</v>
      </c>
      <c r="L244" s="115" t="s">
        <v>35</v>
      </c>
      <c r="M244" s="107" t="s">
        <v>33</v>
      </c>
    </row>
    <row r="245" spans="1:13" s="120" customFormat="1" ht="102" customHeight="1">
      <c r="A245" s="105" t="str">
        <f t="shared" si="5"/>
        <v>20EB0054WARRANTY BOND</v>
      </c>
      <c r="B245" s="106">
        <v>171</v>
      </c>
      <c r="C245" s="119" t="s">
        <v>227</v>
      </c>
      <c r="D245" s="108" t="s">
        <v>228</v>
      </c>
      <c r="E245" s="109" t="s">
        <v>229</v>
      </c>
      <c r="F245" s="110">
        <v>10406510</v>
      </c>
      <c r="G245" s="111">
        <v>45006</v>
      </c>
      <c r="H245" s="111">
        <v>45006</v>
      </c>
      <c r="I245" s="111">
        <v>45372</v>
      </c>
      <c r="J245" s="113" t="s">
        <v>30</v>
      </c>
      <c r="K245" s="114" t="s">
        <v>991</v>
      </c>
      <c r="L245" s="115" t="s">
        <v>35</v>
      </c>
      <c r="M245" s="107" t="s">
        <v>37</v>
      </c>
    </row>
    <row r="246" spans="1:13" s="120" customFormat="1" ht="102" customHeight="1">
      <c r="A246" s="105" t="str">
        <f t="shared" si="5"/>
        <v>20EB0049WARRANTY BOND</v>
      </c>
      <c r="B246" s="106">
        <v>171</v>
      </c>
      <c r="C246" s="119" t="s">
        <v>227</v>
      </c>
      <c r="D246" s="108" t="s">
        <v>992</v>
      </c>
      <c r="E246" s="109" t="s">
        <v>993</v>
      </c>
      <c r="F246" s="110">
        <v>14698584.5</v>
      </c>
      <c r="G246" s="111">
        <v>45013</v>
      </c>
      <c r="H246" s="111">
        <v>45013</v>
      </c>
      <c r="I246" s="111">
        <v>45379</v>
      </c>
      <c r="J246" s="113" t="s">
        <v>30</v>
      </c>
      <c r="K246" s="114" t="s">
        <v>994</v>
      </c>
      <c r="L246" s="115" t="s">
        <v>35</v>
      </c>
      <c r="M246" s="107" t="s">
        <v>37</v>
      </c>
    </row>
    <row r="247" spans="1:13" s="120" customFormat="1" ht="102" customHeight="1">
      <c r="A247" s="105" t="str">
        <f t="shared" si="5"/>
        <v>23EB0007PERFORMANCE BOND</v>
      </c>
      <c r="B247" s="106">
        <v>173</v>
      </c>
      <c r="C247" s="119" t="s">
        <v>995</v>
      </c>
      <c r="D247" s="108" t="s">
        <v>999</v>
      </c>
      <c r="E247" s="109" t="s">
        <v>996</v>
      </c>
      <c r="F247" s="110">
        <v>2884552.39</v>
      </c>
      <c r="G247" s="111">
        <v>44959</v>
      </c>
      <c r="H247" s="111">
        <v>44959</v>
      </c>
      <c r="I247" s="111">
        <v>45690</v>
      </c>
      <c r="J247" s="113" t="s">
        <v>569</v>
      </c>
      <c r="K247" s="114" t="s">
        <v>997</v>
      </c>
      <c r="L247" s="115" t="s">
        <v>39</v>
      </c>
      <c r="M247" s="107" t="s">
        <v>40</v>
      </c>
    </row>
    <row r="248" spans="1:13" s="120" customFormat="1" ht="102" customHeight="1">
      <c r="A248" s="105" t="str">
        <f t="shared" si="5"/>
        <v>23EB0007CONTRACTOR'S ALL RISK POLICY</v>
      </c>
      <c r="B248" s="106">
        <v>173</v>
      </c>
      <c r="C248" s="119" t="s">
        <v>995</v>
      </c>
      <c r="D248" s="108" t="s">
        <v>999</v>
      </c>
      <c r="E248" s="109" t="s">
        <v>996</v>
      </c>
      <c r="F248" s="110">
        <v>9615174.6300000008</v>
      </c>
      <c r="G248" s="111">
        <v>44959</v>
      </c>
      <c r="H248" s="111">
        <v>44959</v>
      </c>
      <c r="I248" s="111">
        <v>45690</v>
      </c>
      <c r="J248" s="113" t="s">
        <v>569</v>
      </c>
      <c r="K248" s="114" t="s">
        <v>1000</v>
      </c>
      <c r="L248" s="115" t="s">
        <v>39</v>
      </c>
      <c r="M248" s="107" t="s">
        <v>31</v>
      </c>
    </row>
    <row r="249" spans="1:13" s="120" customFormat="1" ht="102" customHeight="1">
      <c r="A249" s="105" t="str">
        <f t="shared" si="5"/>
        <v>23EB0007ADVANCE PAYMENT BOND</v>
      </c>
      <c r="B249" s="106">
        <v>173</v>
      </c>
      <c r="C249" s="119" t="s">
        <v>995</v>
      </c>
      <c r="D249" s="108" t="s">
        <v>999</v>
      </c>
      <c r="E249" s="109" t="s">
        <v>996</v>
      </c>
      <c r="F249" s="110">
        <v>1442276.19</v>
      </c>
      <c r="G249" s="111">
        <v>44970</v>
      </c>
      <c r="H249" s="111">
        <v>44970</v>
      </c>
      <c r="I249" s="119" t="s">
        <v>1001</v>
      </c>
      <c r="J249" s="113" t="s">
        <v>30</v>
      </c>
      <c r="K249" s="114" t="s">
        <v>1002</v>
      </c>
      <c r="L249" s="115" t="s">
        <v>39</v>
      </c>
      <c r="M249" s="107" t="s">
        <v>34</v>
      </c>
    </row>
    <row r="250" spans="1:13" s="120" customFormat="1" ht="102" customHeight="1">
      <c r="A250" s="105" t="str">
        <f t="shared" si="5"/>
        <v>23EB0008PERFORMANCE BOND</v>
      </c>
      <c r="B250" s="106">
        <v>173</v>
      </c>
      <c r="C250" s="119" t="s">
        <v>995</v>
      </c>
      <c r="D250" s="108" t="s">
        <v>1003</v>
      </c>
      <c r="E250" s="109" t="s">
        <v>1004</v>
      </c>
      <c r="F250" s="110">
        <v>2159680.39</v>
      </c>
      <c r="G250" s="111">
        <v>44959</v>
      </c>
      <c r="H250" s="111">
        <v>44959</v>
      </c>
      <c r="I250" s="111">
        <v>45690</v>
      </c>
      <c r="J250" s="113" t="s">
        <v>569</v>
      </c>
      <c r="K250" s="114" t="s">
        <v>1005</v>
      </c>
      <c r="L250" s="115" t="s">
        <v>39</v>
      </c>
      <c r="M250" s="107" t="s">
        <v>40</v>
      </c>
    </row>
    <row r="251" spans="1:13" s="120" customFormat="1" ht="102" customHeight="1">
      <c r="A251" s="105" t="str">
        <f t="shared" si="5"/>
        <v>23EB0008CONTRACTOR'S ALL RISK POLICY</v>
      </c>
      <c r="B251" s="106">
        <v>173</v>
      </c>
      <c r="C251" s="119" t="s">
        <v>995</v>
      </c>
      <c r="D251" s="108" t="s">
        <v>1003</v>
      </c>
      <c r="E251" s="109" t="s">
        <v>1004</v>
      </c>
      <c r="F251" s="110">
        <v>7198934.6399999997</v>
      </c>
      <c r="G251" s="111">
        <v>44959</v>
      </c>
      <c r="H251" s="111">
        <v>44959</v>
      </c>
      <c r="I251" s="111">
        <v>45690</v>
      </c>
      <c r="J251" s="113" t="s">
        <v>569</v>
      </c>
      <c r="K251" s="114" t="s">
        <v>1006</v>
      </c>
      <c r="L251" s="115" t="s">
        <v>39</v>
      </c>
      <c r="M251" s="107" t="s">
        <v>31</v>
      </c>
    </row>
    <row r="252" spans="1:13" s="120" customFormat="1" ht="102" customHeight="1">
      <c r="A252" s="105" t="str">
        <f t="shared" si="5"/>
        <v>23EB0008ADVANCE PAYMENT BOND</v>
      </c>
      <c r="B252" s="106">
        <v>173</v>
      </c>
      <c r="C252" s="119" t="s">
        <v>995</v>
      </c>
      <c r="D252" s="108" t="s">
        <v>1003</v>
      </c>
      <c r="E252" s="109" t="s">
        <v>1004</v>
      </c>
      <c r="F252" s="110">
        <v>1079840.2</v>
      </c>
      <c r="G252" s="111">
        <v>44970</v>
      </c>
      <c r="H252" s="111">
        <v>44970</v>
      </c>
      <c r="I252" s="119" t="s">
        <v>1001</v>
      </c>
      <c r="J252" s="113" t="s">
        <v>30</v>
      </c>
      <c r="K252" s="114" t="s">
        <v>1007</v>
      </c>
      <c r="L252" s="115" t="s">
        <v>39</v>
      </c>
      <c r="M252" s="107" t="s">
        <v>34</v>
      </c>
    </row>
    <row r="253" spans="1:13" s="120" customFormat="1" ht="102" customHeight="1">
      <c r="A253" s="105" t="str">
        <f t="shared" si="5"/>
        <v>23EB0010PERFORMANCE BOND</v>
      </c>
      <c r="B253" s="106">
        <v>173</v>
      </c>
      <c r="C253" s="119" t="s">
        <v>995</v>
      </c>
      <c r="D253" s="108" t="s">
        <v>1008</v>
      </c>
      <c r="E253" s="109" t="s">
        <v>1009</v>
      </c>
      <c r="F253" s="110">
        <v>1042855.29</v>
      </c>
      <c r="G253" s="111">
        <v>44959</v>
      </c>
      <c r="H253" s="111">
        <v>44959</v>
      </c>
      <c r="I253" s="111">
        <v>45690</v>
      </c>
      <c r="J253" s="113" t="s">
        <v>569</v>
      </c>
      <c r="K253" s="114" t="s">
        <v>1010</v>
      </c>
      <c r="L253" s="115" t="s">
        <v>39</v>
      </c>
      <c r="M253" s="107" t="s">
        <v>40</v>
      </c>
    </row>
    <row r="254" spans="1:13" s="120" customFormat="1" ht="102" customHeight="1">
      <c r="A254" s="105" t="str">
        <f t="shared" si="5"/>
        <v>23EB0010CONTRACTOR'S ALL RISK POLICY</v>
      </c>
      <c r="B254" s="106">
        <v>173</v>
      </c>
      <c r="C254" s="119" t="s">
        <v>995</v>
      </c>
      <c r="D254" s="108" t="s">
        <v>1008</v>
      </c>
      <c r="E254" s="109" t="s">
        <v>1009</v>
      </c>
      <c r="F254" s="110">
        <v>3476184.31</v>
      </c>
      <c r="G254" s="111">
        <v>44959</v>
      </c>
      <c r="H254" s="111">
        <v>44959</v>
      </c>
      <c r="I254" s="111">
        <v>45690</v>
      </c>
      <c r="J254" s="113" t="s">
        <v>569</v>
      </c>
      <c r="K254" s="114" t="s">
        <v>1011</v>
      </c>
      <c r="L254" s="115" t="s">
        <v>39</v>
      </c>
      <c r="M254" s="107" t="s">
        <v>31</v>
      </c>
    </row>
    <row r="255" spans="1:13" s="120" customFormat="1" ht="102" customHeight="1">
      <c r="A255" s="105" t="str">
        <f t="shared" si="5"/>
        <v>23EB0010ADVANCE PAYMENT BOND</v>
      </c>
      <c r="B255" s="106">
        <v>173</v>
      </c>
      <c r="C255" s="119" t="s">
        <v>995</v>
      </c>
      <c r="D255" s="108" t="s">
        <v>1008</v>
      </c>
      <c r="E255" s="109" t="s">
        <v>1009</v>
      </c>
      <c r="F255" s="110">
        <v>521427.65</v>
      </c>
      <c r="G255" s="111">
        <v>44970</v>
      </c>
      <c r="H255" s="111">
        <v>44970</v>
      </c>
      <c r="I255" s="119" t="s">
        <v>1001</v>
      </c>
      <c r="J255" s="113" t="s">
        <v>30</v>
      </c>
      <c r="K255" s="114" t="s">
        <v>1012</v>
      </c>
      <c r="L255" s="115" t="s">
        <v>39</v>
      </c>
      <c r="M255" s="107" t="s">
        <v>34</v>
      </c>
    </row>
    <row r="256" spans="1:13" s="120" customFormat="1" ht="102" customHeight="1">
      <c r="A256" s="105" t="str">
        <f t="shared" si="5"/>
        <v>23EB0044PERFORMANCE BOND</v>
      </c>
      <c r="B256" s="106">
        <v>173</v>
      </c>
      <c r="C256" s="119" t="s">
        <v>995</v>
      </c>
      <c r="D256" s="108" t="s">
        <v>1013</v>
      </c>
      <c r="E256" s="109" t="s">
        <v>1014</v>
      </c>
      <c r="F256" s="110">
        <v>2853699.98</v>
      </c>
      <c r="G256" s="111">
        <v>44959</v>
      </c>
      <c r="H256" s="111">
        <v>44959</v>
      </c>
      <c r="I256" s="111">
        <v>45690</v>
      </c>
      <c r="J256" s="113" t="s">
        <v>569</v>
      </c>
      <c r="K256" s="114" t="s">
        <v>1015</v>
      </c>
      <c r="L256" s="115" t="s">
        <v>39</v>
      </c>
      <c r="M256" s="107" t="s">
        <v>40</v>
      </c>
    </row>
    <row r="257" spans="1:13" s="120" customFormat="1" ht="102" customHeight="1">
      <c r="A257" s="105" t="str">
        <f t="shared" si="5"/>
        <v>23EB0044CONTRACTOR'S ALL RISK POLICY</v>
      </c>
      <c r="B257" s="106">
        <v>173</v>
      </c>
      <c r="C257" s="119" t="s">
        <v>995</v>
      </c>
      <c r="D257" s="108" t="s">
        <v>1013</v>
      </c>
      <c r="E257" s="109" t="s">
        <v>1014</v>
      </c>
      <c r="F257" s="110">
        <v>9512333.2799999993</v>
      </c>
      <c r="G257" s="111">
        <v>44959</v>
      </c>
      <c r="H257" s="111">
        <v>44959</v>
      </c>
      <c r="I257" s="111">
        <v>45690</v>
      </c>
      <c r="J257" s="113" t="s">
        <v>569</v>
      </c>
      <c r="K257" s="114" t="s">
        <v>1016</v>
      </c>
      <c r="L257" s="115" t="s">
        <v>39</v>
      </c>
      <c r="M257" s="107" t="s">
        <v>31</v>
      </c>
    </row>
    <row r="258" spans="1:13" s="120" customFormat="1" ht="102" customHeight="1">
      <c r="A258" s="105" t="str">
        <f t="shared" si="5"/>
        <v>23EB0044ADVANCE PAYMENT BOND</v>
      </c>
      <c r="B258" s="106">
        <v>173</v>
      </c>
      <c r="C258" s="119" t="s">
        <v>995</v>
      </c>
      <c r="D258" s="108" t="s">
        <v>1013</v>
      </c>
      <c r="E258" s="109" t="s">
        <v>1014</v>
      </c>
      <c r="F258" s="110">
        <v>1426849.99</v>
      </c>
      <c r="G258" s="111">
        <v>44970</v>
      </c>
      <c r="H258" s="111">
        <v>44970</v>
      </c>
      <c r="I258" s="119" t="s">
        <v>1001</v>
      </c>
      <c r="J258" s="113" t="s">
        <v>30</v>
      </c>
      <c r="K258" s="114" t="s">
        <v>1017</v>
      </c>
      <c r="L258" s="115" t="s">
        <v>39</v>
      </c>
      <c r="M258" s="107" t="s">
        <v>34</v>
      </c>
    </row>
    <row r="259" spans="1:13" s="116" customFormat="1" ht="79.5" customHeight="1">
      <c r="A259" s="105" t="str">
        <f t="shared" si="5"/>
        <v>22EB0063RETENTION BOND</v>
      </c>
      <c r="B259" s="106">
        <v>185</v>
      </c>
      <c r="C259" s="119" t="s">
        <v>41</v>
      </c>
      <c r="D259" s="108" t="s">
        <v>1018</v>
      </c>
      <c r="E259" s="109" t="s">
        <v>1019</v>
      </c>
      <c r="F259" s="110">
        <v>494928.16</v>
      </c>
      <c r="G259" s="111">
        <v>44980</v>
      </c>
      <c r="H259" s="111">
        <v>44980</v>
      </c>
      <c r="I259" s="111">
        <v>45345</v>
      </c>
      <c r="J259" s="113" t="s">
        <v>30</v>
      </c>
      <c r="K259" s="114" t="s">
        <v>1020</v>
      </c>
      <c r="L259" s="115" t="s">
        <v>35</v>
      </c>
      <c r="M259" s="107" t="s">
        <v>33</v>
      </c>
    </row>
    <row r="260" spans="1:13" s="116" customFormat="1" ht="79.5" customHeight="1">
      <c r="A260" s="105" t="str">
        <f t="shared" si="5"/>
        <v>17EB0083WARRANTY BOND</v>
      </c>
      <c r="B260" s="106">
        <v>186</v>
      </c>
      <c r="C260" s="119" t="s">
        <v>507</v>
      </c>
      <c r="D260" s="108" t="s">
        <v>508</v>
      </c>
      <c r="E260" s="109" t="s">
        <v>1021</v>
      </c>
      <c r="F260" s="110">
        <v>14692991.449999999</v>
      </c>
      <c r="G260" s="111">
        <v>43528</v>
      </c>
      <c r="H260" s="111">
        <v>43528</v>
      </c>
      <c r="I260" s="111">
        <v>43894</v>
      </c>
      <c r="J260" s="113" t="s">
        <v>30</v>
      </c>
      <c r="K260" s="114" t="s">
        <v>510</v>
      </c>
      <c r="L260" s="115" t="s">
        <v>28</v>
      </c>
      <c r="M260" s="107" t="s">
        <v>37</v>
      </c>
    </row>
    <row r="261" spans="1:13" s="116" customFormat="1" ht="79.5" customHeight="1">
      <c r="A261" s="105" t="str">
        <f t="shared" si="5"/>
        <v>17EB0059-R1WARRANTY BOND</v>
      </c>
      <c r="B261" s="106">
        <v>186</v>
      </c>
      <c r="C261" s="119" t="s">
        <v>507</v>
      </c>
      <c r="D261" s="108" t="s">
        <v>511</v>
      </c>
      <c r="E261" s="109" t="s">
        <v>1022</v>
      </c>
      <c r="F261" s="110">
        <v>10502750.43</v>
      </c>
      <c r="G261" s="111">
        <v>43656</v>
      </c>
      <c r="H261" s="111">
        <v>43656</v>
      </c>
      <c r="I261" s="111">
        <v>44022</v>
      </c>
      <c r="J261" s="113" t="s">
        <v>30</v>
      </c>
      <c r="K261" s="114" t="s">
        <v>513</v>
      </c>
      <c r="L261" s="115" t="s">
        <v>28</v>
      </c>
      <c r="M261" s="107" t="s">
        <v>37</v>
      </c>
    </row>
    <row r="262" spans="1:13" s="116" customFormat="1" ht="135.75" customHeight="1">
      <c r="A262" s="105" t="str">
        <f t="shared" si="5"/>
        <v>23EB0034CONTRACTOR'S ALL RISK POLICY</v>
      </c>
      <c r="B262" s="106">
        <v>188</v>
      </c>
      <c r="C262" s="119" t="s">
        <v>67</v>
      </c>
      <c r="D262" s="108" t="s">
        <v>1023</v>
      </c>
      <c r="E262" s="109" t="s">
        <v>1024</v>
      </c>
      <c r="F262" s="110">
        <v>42853472.960000001</v>
      </c>
      <c r="G262" s="111">
        <v>44988</v>
      </c>
      <c r="H262" s="111">
        <v>44988</v>
      </c>
      <c r="I262" s="111">
        <v>45354</v>
      </c>
      <c r="J262" s="113" t="s">
        <v>30</v>
      </c>
      <c r="K262" s="114" t="s">
        <v>1025</v>
      </c>
      <c r="L262" s="115" t="s">
        <v>35</v>
      </c>
      <c r="M262" s="107" t="s">
        <v>31</v>
      </c>
    </row>
    <row r="263" spans="1:13" s="116" customFormat="1" ht="135.75" customHeight="1">
      <c r="A263" s="105" t="str">
        <f t="shared" si="5"/>
        <v>23EB0034PERFORMANCE BOND</v>
      </c>
      <c r="B263" s="106">
        <v>188</v>
      </c>
      <c r="C263" s="119" t="s">
        <v>67</v>
      </c>
      <c r="D263" s="108" t="s">
        <v>1023</v>
      </c>
      <c r="E263" s="109" t="s">
        <v>1024</v>
      </c>
      <c r="F263" s="110">
        <v>12856042</v>
      </c>
      <c r="G263" s="111">
        <v>44988</v>
      </c>
      <c r="H263" s="111">
        <v>44988</v>
      </c>
      <c r="I263" s="111">
        <v>45719</v>
      </c>
      <c r="J263" s="113" t="s">
        <v>27</v>
      </c>
      <c r="K263" s="114" t="s">
        <v>1026</v>
      </c>
      <c r="L263" s="115" t="s">
        <v>35</v>
      </c>
      <c r="M263" s="107" t="s">
        <v>40</v>
      </c>
    </row>
    <row r="264" spans="1:13" s="116" customFormat="1" ht="135.75" customHeight="1">
      <c r="A264" s="105" t="str">
        <f t="shared" si="5"/>
        <v>23EB0029CONTRACTOR'S ALL RISK POLICY</v>
      </c>
      <c r="B264" s="106">
        <v>190</v>
      </c>
      <c r="C264" s="119" t="s">
        <v>1027</v>
      </c>
      <c r="D264" s="108" t="s">
        <v>1028</v>
      </c>
      <c r="E264" s="109" t="s">
        <v>1029</v>
      </c>
      <c r="F264" s="110">
        <v>43958469.18</v>
      </c>
      <c r="G264" s="111">
        <v>44988</v>
      </c>
      <c r="H264" s="111">
        <v>44988</v>
      </c>
      <c r="I264" s="111">
        <v>45354</v>
      </c>
      <c r="J264" s="113" t="s">
        <v>30</v>
      </c>
      <c r="K264" s="114" t="s">
        <v>1030</v>
      </c>
      <c r="L264" s="115" t="s">
        <v>35</v>
      </c>
      <c r="M264" s="107" t="s">
        <v>31</v>
      </c>
    </row>
    <row r="265" spans="1:13" s="116" customFormat="1" ht="135.75" customHeight="1">
      <c r="A265" s="105" t="str">
        <f t="shared" si="5"/>
        <v>23EB0029PERFORMANCE BOND</v>
      </c>
      <c r="B265" s="106">
        <v>190</v>
      </c>
      <c r="C265" s="119" t="s">
        <v>1027</v>
      </c>
      <c r="D265" s="108" t="s">
        <v>1028</v>
      </c>
      <c r="E265" s="109" t="s">
        <v>1029</v>
      </c>
      <c r="F265" s="110">
        <v>13187514</v>
      </c>
      <c r="G265" s="111">
        <v>44988</v>
      </c>
      <c r="H265" s="111">
        <v>44988</v>
      </c>
      <c r="I265" s="111">
        <v>45719</v>
      </c>
      <c r="J265" s="113" t="s">
        <v>27</v>
      </c>
      <c r="K265" s="114" t="s">
        <v>1031</v>
      </c>
      <c r="L265" s="115" t="s">
        <v>35</v>
      </c>
      <c r="M265" s="107" t="s">
        <v>40</v>
      </c>
    </row>
    <row r="266" spans="1:13" s="116" customFormat="1" ht="79.5" customHeight="1">
      <c r="A266" s="105" t="str">
        <f t="shared" si="5"/>
        <v>23EB0054-R2CONTRACTOR'S ALL RISK POLICY</v>
      </c>
      <c r="B266" s="106">
        <v>192</v>
      </c>
      <c r="C266" s="119" t="s">
        <v>38</v>
      </c>
      <c r="D266" s="108" t="s">
        <v>1032</v>
      </c>
      <c r="E266" s="109" t="s">
        <v>1033</v>
      </c>
      <c r="F266" s="110">
        <v>4846438.88</v>
      </c>
      <c r="G266" s="111">
        <v>44991</v>
      </c>
      <c r="H266" s="111">
        <v>44991</v>
      </c>
      <c r="I266" s="111">
        <v>45357</v>
      </c>
      <c r="J266" s="113" t="s">
        <v>30</v>
      </c>
      <c r="K266" s="114" t="s">
        <v>1034</v>
      </c>
      <c r="L266" s="115" t="s">
        <v>35</v>
      </c>
      <c r="M266" s="107" t="s">
        <v>31</v>
      </c>
    </row>
    <row r="267" spans="1:13" s="116" customFormat="1" ht="79.5" customHeight="1">
      <c r="A267" s="105" t="str">
        <f t="shared" si="5"/>
        <v>23EB0054-R2PERFORMANCE BOND</v>
      </c>
      <c r="B267" s="106">
        <v>192</v>
      </c>
      <c r="C267" s="119" t="s">
        <v>38</v>
      </c>
      <c r="D267" s="108" t="s">
        <v>1032</v>
      </c>
      <c r="E267" s="109" t="s">
        <v>1033</v>
      </c>
      <c r="F267" s="110">
        <v>1453931.66</v>
      </c>
      <c r="G267" s="111">
        <v>44991</v>
      </c>
      <c r="H267" s="111">
        <v>44991</v>
      </c>
      <c r="I267" s="111">
        <v>45722</v>
      </c>
      <c r="J267" s="113" t="s">
        <v>27</v>
      </c>
      <c r="K267" s="114" t="s">
        <v>1035</v>
      </c>
      <c r="L267" s="115" t="s">
        <v>35</v>
      </c>
      <c r="M267" s="107" t="s">
        <v>40</v>
      </c>
    </row>
    <row r="268" spans="1:13" s="116" customFormat="1" ht="79.5" customHeight="1">
      <c r="A268" s="105" t="str">
        <f t="shared" si="5"/>
        <v>23EB0055CONTRACTOR'S ALL RISK POLICY</v>
      </c>
      <c r="B268" s="106">
        <v>194</v>
      </c>
      <c r="C268" s="119" t="s">
        <v>44</v>
      </c>
      <c r="D268" s="108" t="s">
        <v>1036</v>
      </c>
      <c r="E268" s="109" t="s">
        <v>1037</v>
      </c>
      <c r="F268" s="110">
        <v>6798085.0099999998</v>
      </c>
      <c r="G268" s="111">
        <v>44991</v>
      </c>
      <c r="H268" s="111">
        <v>44991</v>
      </c>
      <c r="I268" s="111">
        <v>45357</v>
      </c>
      <c r="J268" s="113" t="s">
        <v>30</v>
      </c>
      <c r="K268" s="114" t="s">
        <v>1038</v>
      </c>
      <c r="L268" s="115" t="s">
        <v>35</v>
      </c>
      <c r="M268" s="107" t="s">
        <v>31</v>
      </c>
    </row>
    <row r="269" spans="1:13" s="116" customFormat="1" ht="79.5" customHeight="1">
      <c r="A269" s="105" t="str">
        <f t="shared" si="5"/>
        <v>23EB0055PERFORMANCE BOND</v>
      </c>
      <c r="B269" s="106">
        <v>194</v>
      </c>
      <c r="C269" s="119" t="s">
        <v>44</v>
      </c>
      <c r="D269" s="108" t="s">
        <v>1036</v>
      </c>
      <c r="E269" s="109" t="s">
        <v>1037</v>
      </c>
      <c r="F269" s="110">
        <v>2039425.5</v>
      </c>
      <c r="G269" s="111">
        <v>44991</v>
      </c>
      <c r="H269" s="111">
        <v>44991</v>
      </c>
      <c r="I269" s="111">
        <v>45357</v>
      </c>
      <c r="J269" s="113" t="s">
        <v>27</v>
      </c>
      <c r="K269" s="114" t="s">
        <v>1039</v>
      </c>
      <c r="L269" s="115" t="s">
        <v>35</v>
      </c>
      <c r="M269" s="107" t="s">
        <v>40</v>
      </c>
    </row>
    <row r="270" spans="1:13" s="116" customFormat="1" ht="79.5" customHeight="1">
      <c r="A270" s="105" t="str">
        <f t="shared" si="5"/>
        <v>23EB0070-R1CONTRACTOR'S ALL RISK POLICY</v>
      </c>
      <c r="B270" s="106">
        <v>196</v>
      </c>
      <c r="C270" s="119" t="s">
        <v>44</v>
      </c>
      <c r="D270" s="108" t="s">
        <v>1040</v>
      </c>
      <c r="E270" s="109" t="s">
        <v>1041</v>
      </c>
      <c r="F270" s="110">
        <v>4826387.8</v>
      </c>
      <c r="G270" s="111">
        <v>45002</v>
      </c>
      <c r="H270" s="111">
        <v>45002</v>
      </c>
      <c r="I270" s="111">
        <v>45368</v>
      </c>
      <c r="J270" s="113" t="s">
        <v>30</v>
      </c>
      <c r="K270" s="114" t="s">
        <v>1042</v>
      </c>
      <c r="L270" s="115" t="s">
        <v>69</v>
      </c>
      <c r="M270" s="107" t="s">
        <v>31</v>
      </c>
    </row>
    <row r="271" spans="1:13" s="116" customFormat="1" ht="79.5" customHeight="1">
      <c r="A271" s="105" t="str">
        <f t="shared" si="5"/>
        <v>23EB0070-R1PERFORMANCE BOND</v>
      </c>
      <c r="B271" s="106">
        <v>196</v>
      </c>
      <c r="C271" s="119" t="s">
        <v>44</v>
      </c>
      <c r="D271" s="108" t="s">
        <v>1040</v>
      </c>
      <c r="E271" s="109" t="s">
        <v>1041</v>
      </c>
      <c r="F271" s="110">
        <v>1447916.5</v>
      </c>
      <c r="G271" s="111">
        <v>45002</v>
      </c>
      <c r="H271" s="111">
        <v>45002</v>
      </c>
      <c r="I271" s="111">
        <v>45733</v>
      </c>
      <c r="J271" s="113" t="s">
        <v>27</v>
      </c>
      <c r="K271" s="114" t="s">
        <v>1043</v>
      </c>
      <c r="L271" s="115" t="s">
        <v>69</v>
      </c>
      <c r="M271" s="107" t="s">
        <v>40</v>
      </c>
    </row>
    <row r="272" spans="1:13" s="116" customFormat="1" ht="79.5" customHeight="1">
      <c r="A272" s="105" t="str">
        <f>D272&amp;M272</f>
        <v>23EB0082CONTRACTOR'S ALL RISK POLICY</v>
      </c>
      <c r="B272" s="106">
        <v>198</v>
      </c>
      <c r="C272" s="119" t="s">
        <v>453</v>
      </c>
      <c r="D272" s="108" t="s">
        <v>1044</v>
      </c>
      <c r="E272" s="109" t="s">
        <v>1045</v>
      </c>
      <c r="F272" s="110">
        <v>9603945.9399999995</v>
      </c>
      <c r="G272" s="111">
        <v>45002</v>
      </c>
      <c r="H272" s="111">
        <v>45002</v>
      </c>
      <c r="I272" s="111">
        <v>45368</v>
      </c>
      <c r="J272" s="113" t="s">
        <v>30</v>
      </c>
      <c r="K272" s="114" t="s">
        <v>1046</v>
      </c>
      <c r="L272" s="115" t="s">
        <v>69</v>
      </c>
      <c r="M272" s="107" t="s">
        <v>31</v>
      </c>
    </row>
    <row r="273" spans="1:13" s="116" customFormat="1" ht="79.5" hidden="1" customHeight="1">
      <c r="A273" s="105" t="str">
        <f>D273&amp;M273</f>
        <v>23EB0082PERFORMANCE BOND</v>
      </c>
      <c r="B273" s="106">
        <v>198</v>
      </c>
      <c r="C273" s="119" t="s">
        <v>453</v>
      </c>
      <c r="D273" s="108" t="s">
        <v>1044</v>
      </c>
      <c r="E273" s="109" t="s">
        <v>1045</v>
      </c>
      <c r="F273" s="110">
        <v>2881183.78</v>
      </c>
      <c r="G273" s="111">
        <v>45002</v>
      </c>
      <c r="H273" s="111">
        <v>45002</v>
      </c>
      <c r="I273" s="111">
        <v>45368</v>
      </c>
      <c r="J273" s="113" t="s">
        <v>27</v>
      </c>
      <c r="K273" s="114" t="s">
        <v>1047</v>
      </c>
      <c r="L273" s="115" t="s">
        <v>69</v>
      </c>
      <c r="M273" s="107" t="s">
        <v>40</v>
      </c>
    </row>
    <row r="274" spans="1:13" s="116" customFormat="1" ht="81" customHeight="1">
      <c r="A274" s="105" t="str">
        <f t="shared" si="5"/>
        <v>23EB0082PERFORMANCE BOND</v>
      </c>
      <c r="B274" s="106">
        <v>200</v>
      </c>
      <c r="C274" s="119" t="s">
        <v>453</v>
      </c>
      <c r="D274" s="108" t="s">
        <v>1044</v>
      </c>
      <c r="E274" s="109" t="s">
        <v>1045</v>
      </c>
      <c r="F274" s="110">
        <v>2881183.78</v>
      </c>
      <c r="G274" s="111">
        <v>45002</v>
      </c>
      <c r="H274" s="111">
        <v>45002</v>
      </c>
      <c r="I274" s="111">
        <v>45368</v>
      </c>
      <c r="J274" s="113" t="s">
        <v>27</v>
      </c>
      <c r="K274" s="114" t="s">
        <v>1047</v>
      </c>
      <c r="L274" s="115" t="s">
        <v>69</v>
      </c>
      <c r="M274" s="107" t="s">
        <v>40</v>
      </c>
    </row>
    <row r="275" spans="1:13" s="116" customFormat="1" ht="81" customHeight="1">
      <c r="A275" s="105" t="str">
        <f t="shared" si="5"/>
        <v>23EB0017-R1CONTRACTOR'S ALL RISK POLICY</v>
      </c>
      <c r="B275" s="106">
        <v>200</v>
      </c>
      <c r="C275" s="119" t="s">
        <v>560</v>
      </c>
      <c r="D275" s="108" t="s">
        <v>1048</v>
      </c>
      <c r="E275" s="109" t="s">
        <v>1049</v>
      </c>
      <c r="F275" s="110">
        <v>9506005.0700000003</v>
      </c>
      <c r="G275" s="111">
        <v>44995</v>
      </c>
      <c r="H275" s="111">
        <v>44995</v>
      </c>
      <c r="I275" s="111">
        <v>45361</v>
      </c>
      <c r="J275" s="113" t="s">
        <v>30</v>
      </c>
      <c r="K275" s="114" t="s">
        <v>1050</v>
      </c>
      <c r="L275" s="115" t="s">
        <v>69</v>
      </c>
      <c r="M275" s="107" t="s">
        <v>31</v>
      </c>
    </row>
    <row r="276" spans="1:13" s="116" customFormat="1" ht="81" customHeight="1">
      <c r="A276" s="105" t="str">
        <f t="shared" si="5"/>
        <v>23EB0082PERFORMANCE BOND</v>
      </c>
      <c r="B276" s="106">
        <v>200</v>
      </c>
      <c r="C276" s="119" t="s">
        <v>453</v>
      </c>
      <c r="D276" s="108" t="s">
        <v>1044</v>
      </c>
      <c r="E276" s="109" t="s">
        <v>1045</v>
      </c>
      <c r="F276" s="110">
        <v>2881183.78</v>
      </c>
      <c r="G276" s="111">
        <v>45002</v>
      </c>
      <c r="H276" s="111">
        <v>45002</v>
      </c>
      <c r="I276" s="111">
        <v>45368</v>
      </c>
      <c r="J276" s="113" t="s">
        <v>27</v>
      </c>
      <c r="K276" s="114" t="s">
        <v>1047</v>
      </c>
      <c r="L276" s="115" t="s">
        <v>69</v>
      </c>
      <c r="M276" s="107" t="s">
        <v>40</v>
      </c>
    </row>
    <row r="277" spans="1:13" s="116" customFormat="1" ht="81" customHeight="1">
      <c r="A277" s="105" t="str">
        <f t="shared" si="5"/>
        <v>23EB0082PERFORMANCE BOND</v>
      </c>
      <c r="B277" s="106">
        <v>200</v>
      </c>
      <c r="C277" s="119" t="s">
        <v>453</v>
      </c>
      <c r="D277" s="108" t="s">
        <v>1044</v>
      </c>
      <c r="E277" s="109" t="s">
        <v>1045</v>
      </c>
      <c r="F277" s="110">
        <v>2881183.78</v>
      </c>
      <c r="G277" s="111">
        <v>45002</v>
      </c>
      <c r="H277" s="111">
        <v>45002</v>
      </c>
      <c r="I277" s="111">
        <v>45368</v>
      </c>
      <c r="J277" s="113" t="s">
        <v>27</v>
      </c>
      <c r="K277" s="114" t="s">
        <v>1047</v>
      </c>
      <c r="L277" s="115" t="s">
        <v>69</v>
      </c>
      <c r="M277" s="107" t="s">
        <v>40</v>
      </c>
    </row>
    <row r="278" spans="1:13" s="116" customFormat="1" ht="81" customHeight="1">
      <c r="A278" s="105" t="str">
        <f t="shared" si="5"/>
        <v>23EB0082PERFORMANCE BOND</v>
      </c>
      <c r="B278" s="106">
        <v>200</v>
      </c>
      <c r="C278" s="119" t="s">
        <v>453</v>
      </c>
      <c r="D278" s="108" t="s">
        <v>1044</v>
      </c>
      <c r="E278" s="109" t="s">
        <v>1045</v>
      </c>
      <c r="F278" s="110">
        <v>2881183.78</v>
      </c>
      <c r="G278" s="111">
        <v>45002</v>
      </c>
      <c r="H278" s="111">
        <v>45002</v>
      </c>
      <c r="I278" s="111">
        <v>45368</v>
      </c>
      <c r="J278" s="113" t="s">
        <v>27</v>
      </c>
      <c r="K278" s="114" t="s">
        <v>1047</v>
      </c>
      <c r="L278" s="115" t="s">
        <v>69</v>
      </c>
      <c r="M278" s="107" t="s">
        <v>40</v>
      </c>
    </row>
    <row r="279" spans="1:13" s="116" customFormat="1" ht="81" customHeight="1">
      <c r="A279" s="105" t="str">
        <f t="shared" si="5"/>
        <v>23EB0082PERFORMANCE BOND</v>
      </c>
      <c r="B279" s="106">
        <v>200</v>
      </c>
      <c r="C279" s="119" t="s">
        <v>453</v>
      </c>
      <c r="D279" s="108" t="s">
        <v>1044</v>
      </c>
      <c r="E279" s="109" t="s">
        <v>1045</v>
      </c>
      <c r="F279" s="110">
        <v>2881183.78</v>
      </c>
      <c r="G279" s="111">
        <v>45002</v>
      </c>
      <c r="H279" s="111">
        <v>45002</v>
      </c>
      <c r="I279" s="111">
        <v>45368</v>
      </c>
      <c r="J279" s="113" t="s">
        <v>27</v>
      </c>
      <c r="K279" s="114" t="s">
        <v>1047</v>
      </c>
      <c r="L279" s="115" t="s">
        <v>69</v>
      </c>
      <c r="M279" s="107" t="s">
        <v>40</v>
      </c>
    </row>
    <row r="280" spans="1:13" s="116" customFormat="1" ht="81" customHeight="1">
      <c r="A280" s="105" t="str">
        <f t="shared" si="5"/>
        <v>23EB0082PERFORMANCE BOND</v>
      </c>
      <c r="B280" s="106">
        <v>200</v>
      </c>
      <c r="C280" s="119" t="s">
        <v>453</v>
      </c>
      <c r="D280" s="108" t="s">
        <v>1044</v>
      </c>
      <c r="E280" s="109" t="s">
        <v>1045</v>
      </c>
      <c r="F280" s="110">
        <v>2881183.78</v>
      </c>
      <c r="G280" s="111">
        <v>45002</v>
      </c>
      <c r="H280" s="111">
        <v>45002</v>
      </c>
      <c r="I280" s="111">
        <v>45368</v>
      </c>
      <c r="J280" s="113" t="s">
        <v>27</v>
      </c>
      <c r="K280" s="114" t="s">
        <v>1047</v>
      </c>
      <c r="L280" s="115" t="s">
        <v>69</v>
      </c>
      <c r="M280" s="107" t="s">
        <v>40</v>
      </c>
    </row>
    <row r="281" spans="1:13" s="53" customFormat="1" ht="32.25">
      <c r="A281" s="98"/>
      <c r="B281" s="51"/>
      <c r="C281" s="52" t="s">
        <v>46</v>
      </c>
      <c r="D281" s="51"/>
      <c r="E281" s="51"/>
      <c r="F281" s="51"/>
      <c r="G281" s="51"/>
      <c r="H281" s="92"/>
      <c r="I281" s="92"/>
      <c r="J281" s="86"/>
      <c r="K281" s="51"/>
      <c r="L281" s="51"/>
      <c r="M281" s="51"/>
    </row>
    <row r="282" spans="1:13" s="53" customFormat="1" ht="14.25">
      <c r="A282" s="98"/>
      <c r="B282" s="51"/>
      <c r="C282" s="51"/>
      <c r="D282" s="51"/>
      <c r="E282" s="51"/>
      <c r="F282" s="51"/>
      <c r="G282" s="51"/>
      <c r="H282" s="92"/>
      <c r="I282" s="92"/>
      <c r="J282" s="86"/>
      <c r="K282" s="51"/>
      <c r="L282" s="51"/>
      <c r="M282" s="51"/>
    </row>
    <row r="283" spans="1:13" s="53" customFormat="1" ht="34.5">
      <c r="A283" s="99"/>
      <c r="B283" s="51"/>
      <c r="C283" s="54"/>
      <c r="D283" s="54" t="s">
        <v>47</v>
      </c>
      <c r="E283" s="55"/>
      <c r="F283" s="51"/>
      <c r="G283" s="51"/>
      <c r="H283" s="92"/>
      <c r="I283" s="92"/>
      <c r="J283" s="86"/>
      <c r="K283" s="51"/>
      <c r="L283" s="51"/>
      <c r="M283" s="51"/>
    </row>
    <row r="284" spans="1:13" s="53" customFormat="1" ht="34.5">
      <c r="A284" s="100"/>
      <c r="B284" s="51"/>
      <c r="C284" s="56"/>
      <c r="D284" s="56" t="s">
        <v>48</v>
      </c>
      <c r="E284" s="55"/>
      <c r="F284" s="51"/>
      <c r="G284" s="51"/>
      <c r="H284" s="92"/>
      <c r="I284" s="92"/>
      <c r="J284" s="86"/>
      <c r="K284" s="51"/>
      <c r="L284" s="51"/>
      <c r="M284" s="51"/>
    </row>
    <row r="285" spans="1:13" customFormat="1">
      <c r="A285" s="101"/>
      <c r="H285" s="93"/>
      <c r="I285" s="93"/>
      <c r="J285" s="87"/>
    </row>
    <row r="286" spans="1:13" customFormat="1">
      <c r="A286" s="101"/>
      <c r="H286" s="93"/>
      <c r="I286" s="93"/>
      <c r="J286" s="87"/>
    </row>
    <row r="287" spans="1:13" customFormat="1">
      <c r="A287" s="101"/>
      <c r="H287" s="93"/>
      <c r="I287" s="93"/>
      <c r="J287" s="87"/>
    </row>
  </sheetData>
  <mergeCells count="16">
    <mergeCell ref="B4:M4"/>
    <mergeCell ref="AE4:AR4"/>
    <mergeCell ref="B1:M1"/>
    <mergeCell ref="B2:M2"/>
    <mergeCell ref="AE2:AR2"/>
    <mergeCell ref="B3:M3"/>
    <mergeCell ref="AE3:AR3"/>
    <mergeCell ref="B10:M10"/>
    <mergeCell ref="AE10:AR10"/>
    <mergeCell ref="AE11:AR11"/>
    <mergeCell ref="B5:M5"/>
    <mergeCell ref="AE5:AR5"/>
    <mergeCell ref="B6:M6"/>
    <mergeCell ref="AE6:AR6"/>
    <mergeCell ref="AE7:AR7"/>
    <mergeCell ref="B9:M9"/>
  </mergeCells>
  <pageMargins left="0.25" right="0.25" top="0.28000000000000003" bottom="0.22" header="0.3" footer="0.3"/>
  <pageSetup paperSize="14" scale="32" fitToHeight="0" orientation="landscape" r:id="rId1"/>
  <rowBreaks count="3" manualBreakCount="3">
    <brk id="24" min="1" max="12" man="1"/>
    <brk id="44" min="1" max="12" man="1"/>
    <brk id="260" min="1" max="14"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AR223"/>
  <sheetViews>
    <sheetView view="pageBreakPreview" topLeftCell="A79" zoomScale="55" zoomScaleNormal="100" zoomScaleSheetLayoutView="55" workbookViewId="0">
      <selection activeCell="D87" sqref="D87"/>
    </sheetView>
  </sheetViews>
  <sheetFormatPr defaultRowHeight="15"/>
  <cols>
    <col min="1" max="1" width="28" style="102" customWidth="1"/>
    <col min="2" max="2" width="9.140625" style="28"/>
    <col min="3" max="3" width="36.140625" style="28" customWidth="1"/>
    <col min="4" max="4" width="22" style="28" customWidth="1"/>
    <col min="5" max="5" width="105" style="28" customWidth="1"/>
    <col min="6" max="6" width="63" style="28" customWidth="1"/>
    <col min="7" max="7" width="31.7109375" style="29" customWidth="1"/>
    <col min="8" max="8" width="39.7109375" style="93" customWidth="1"/>
    <col min="9" max="9" width="54.140625" style="93" customWidth="1"/>
    <col min="10" max="10" width="18.42578125" style="87" customWidth="1"/>
    <col min="11" max="11" width="36.7109375" style="28" customWidth="1"/>
    <col min="12" max="12" width="39.85546875" style="28" customWidth="1"/>
    <col min="13" max="14" width="29.5703125" style="28" customWidth="1"/>
    <col min="15" max="16384" width="9.140625" style="28"/>
  </cols>
  <sheetData>
    <row r="1" spans="1:44" s="18" customFormat="1" ht="32.25">
      <c r="A1" s="94"/>
      <c r="B1" s="226" t="s">
        <v>6</v>
      </c>
      <c r="C1" s="226"/>
      <c r="D1" s="226"/>
      <c r="E1" s="226"/>
      <c r="F1" s="226"/>
      <c r="G1" s="226"/>
      <c r="H1" s="226"/>
      <c r="I1" s="226"/>
      <c r="J1" s="226"/>
      <c r="K1" s="226"/>
      <c r="L1" s="226"/>
      <c r="M1" s="226"/>
    </row>
    <row r="2" spans="1:44" s="18" customFormat="1" ht="32.25">
      <c r="A2" s="94"/>
      <c r="B2" s="226" t="s">
        <v>5</v>
      </c>
      <c r="C2" s="226"/>
      <c r="D2" s="226"/>
      <c r="E2" s="226"/>
      <c r="F2" s="226"/>
      <c r="G2" s="226"/>
      <c r="H2" s="226"/>
      <c r="I2" s="226"/>
      <c r="J2" s="226"/>
      <c r="K2" s="226"/>
      <c r="L2" s="226"/>
      <c r="M2" s="226"/>
      <c r="N2" s="19"/>
      <c r="O2" s="19"/>
      <c r="P2" s="19"/>
      <c r="Q2" s="19"/>
      <c r="R2" s="19"/>
      <c r="S2" s="19"/>
      <c r="T2" s="19"/>
      <c r="AE2" s="226"/>
      <c r="AF2" s="226"/>
      <c r="AG2" s="226"/>
      <c r="AH2" s="226"/>
      <c r="AI2" s="226"/>
      <c r="AJ2" s="226"/>
      <c r="AK2" s="226"/>
      <c r="AL2" s="226"/>
      <c r="AM2" s="226"/>
      <c r="AN2" s="226"/>
      <c r="AO2" s="226"/>
      <c r="AP2" s="226"/>
      <c r="AQ2" s="226"/>
      <c r="AR2" s="226"/>
    </row>
    <row r="3" spans="1:44" s="18" customFormat="1" ht="32.25">
      <c r="A3" s="94"/>
      <c r="B3" s="225" t="s">
        <v>4</v>
      </c>
      <c r="C3" s="225"/>
      <c r="D3" s="225"/>
      <c r="E3" s="225"/>
      <c r="F3" s="225"/>
      <c r="G3" s="225"/>
      <c r="H3" s="225"/>
      <c r="I3" s="225"/>
      <c r="J3" s="225"/>
      <c r="K3" s="225"/>
      <c r="L3" s="225"/>
      <c r="M3" s="225"/>
      <c r="N3" s="19"/>
      <c r="O3" s="19"/>
      <c r="P3" s="19"/>
      <c r="Q3" s="19"/>
      <c r="R3" s="19"/>
      <c r="S3" s="19"/>
      <c r="T3" s="19"/>
      <c r="AE3" s="226"/>
      <c r="AF3" s="226"/>
      <c r="AG3" s="226"/>
      <c r="AH3" s="226"/>
      <c r="AI3" s="226"/>
      <c r="AJ3" s="226"/>
      <c r="AK3" s="226"/>
      <c r="AL3" s="226"/>
      <c r="AM3" s="226"/>
      <c r="AN3" s="226"/>
      <c r="AO3" s="226"/>
      <c r="AP3" s="226"/>
      <c r="AQ3" s="226"/>
      <c r="AR3" s="226"/>
    </row>
    <row r="4" spans="1:44" s="18" customFormat="1" ht="32.25">
      <c r="A4" s="94"/>
      <c r="B4" s="225" t="s">
        <v>3</v>
      </c>
      <c r="C4" s="225"/>
      <c r="D4" s="225"/>
      <c r="E4" s="225"/>
      <c r="F4" s="225"/>
      <c r="G4" s="225"/>
      <c r="H4" s="225"/>
      <c r="I4" s="225"/>
      <c r="J4" s="225"/>
      <c r="K4" s="225"/>
      <c r="L4" s="225"/>
      <c r="M4" s="225"/>
      <c r="N4" s="20"/>
      <c r="O4" s="20"/>
      <c r="P4" s="20"/>
      <c r="Q4" s="20"/>
      <c r="R4" s="20"/>
      <c r="S4" s="20"/>
      <c r="T4" s="20"/>
      <c r="AE4" s="225"/>
      <c r="AF4" s="225"/>
      <c r="AG4" s="225"/>
      <c r="AH4" s="225"/>
      <c r="AI4" s="225"/>
      <c r="AJ4" s="225"/>
      <c r="AK4" s="225"/>
      <c r="AL4" s="225"/>
      <c r="AM4" s="225"/>
      <c r="AN4" s="225"/>
      <c r="AO4" s="225"/>
      <c r="AP4" s="225"/>
      <c r="AQ4" s="225"/>
      <c r="AR4" s="225"/>
    </row>
    <row r="5" spans="1:44" s="18" customFormat="1" ht="32.25">
      <c r="A5" s="94"/>
      <c r="B5" s="226" t="s">
        <v>2</v>
      </c>
      <c r="C5" s="226"/>
      <c r="D5" s="226"/>
      <c r="E5" s="226"/>
      <c r="F5" s="226"/>
      <c r="G5" s="226"/>
      <c r="H5" s="226"/>
      <c r="I5" s="226"/>
      <c r="J5" s="226"/>
      <c r="K5" s="226"/>
      <c r="L5" s="226"/>
      <c r="M5" s="226"/>
      <c r="N5" s="20"/>
      <c r="O5" s="20"/>
      <c r="P5" s="20"/>
      <c r="Q5" s="20"/>
      <c r="R5" s="20"/>
      <c r="S5" s="20"/>
      <c r="T5" s="20"/>
      <c r="AE5" s="225"/>
      <c r="AF5" s="225"/>
      <c r="AG5" s="225"/>
      <c r="AH5" s="225"/>
      <c r="AI5" s="225"/>
      <c r="AJ5" s="225"/>
      <c r="AK5" s="225"/>
      <c r="AL5" s="225"/>
      <c r="AM5" s="225"/>
      <c r="AN5" s="225"/>
      <c r="AO5" s="225"/>
      <c r="AP5" s="225"/>
      <c r="AQ5" s="225"/>
      <c r="AR5" s="225"/>
    </row>
    <row r="6" spans="1:44" s="18" customFormat="1" ht="32.25">
      <c r="A6" s="94"/>
      <c r="B6" s="226" t="s">
        <v>1</v>
      </c>
      <c r="C6" s="226"/>
      <c r="D6" s="226"/>
      <c r="E6" s="226"/>
      <c r="F6" s="226"/>
      <c r="G6" s="226"/>
      <c r="H6" s="226"/>
      <c r="I6" s="226"/>
      <c r="J6" s="226"/>
      <c r="K6" s="226"/>
      <c r="L6" s="226"/>
      <c r="M6" s="226"/>
      <c r="N6" s="20"/>
      <c r="O6" s="20"/>
      <c r="P6" s="20"/>
      <c r="Q6" s="20"/>
      <c r="R6" s="20"/>
      <c r="S6" s="20"/>
      <c r="T6" s="20"/>
      <c r="AE6" s="226"/>
      <c r="AF6" s="226"/>
      <c r="AG6" s="226"/>
      <c r="AH6" s="226"/>
      <c r="AI6" s="226"/>
      <c r="AJ6" s="226"/>
      <c r="AK6" s="226"/>
      <c r="AL6" s="226"/>
      <c r="AM6" s="226"/>
      <c r="AN6" s="226"/>
      <c r="AO6" s="226"/>
      <c r="AP6" s="226"/>
      <c r="AQ6" s="226"/>
      <c r="AR6" s="226"/>
    </row>
    <row r="7" spans="1:44" s="18" customFormat="1" ht="32.25">
      <c r="A7" s="94"/>
      <c r="B7" s="21"/>
      <c r="C7" s="22"/>
      <c r="D7" s="21"/>
      <c r="E7" s="22"/>
      <c r="F7" s="22"/>
      <c r="G7" s="22"/>
      <c r="H7" s="88"/>
      <c r="I7" s="88"/>
      <c r="J7" s="80"/>
      <c r="K7" s="58"/>
      <c r="L7" s="58"/>
      <c r="M7" s="22"/>
      <c r="N7" s="20"/>
      <c r="O7" s="20"/>
      <c r="P7" s="20"/>
      <c r="Q7" s="20"/>
      <c r="R7" s="20"/>
      <c r="S7" s="20"/>
      <c r="T7" s="20"/>
      <c r="AE7" s="226"/>
      <c r="AF7" s="226"/>
      <c r="AG7" s="226"/>
      <c r="AH7" s="226"/>
      <c r="AI7" s="226"/>
      <c r="AJ7" s="226"/>
      <c r="AK7" s="226"/>
      <c r="AL7" s="226"/>
      <c r="AM7" s="226"/>
      <c r="AN7" s="226"/>
      <c r="AO7" s="226"/>
      <c r="AP7" s="226"/>
      <c r="AQ7" s="226"/>
      <c r="AR7" s="226"/>
    </row>
    <row r="8" spans="1:44" s="18" customFormat="1" ht="32.25">
      <c r="A8" s="94"/>
      <c r="B8" s="21"/>
      <c r="C8" s="22"/>
      <c r="D8" s="21"/>
      <c r="E8" s="22"/>
      <c r="F8" s="22"/>
      <c r="G8" s="22"/>
      <c r="H8" s="88"/>
      <c r="I8" s="88"/>
      <c r="J8" s="80"/>
      <c r="K8" s="58"/>
      <c r="L8" s="58"/>
      <c r="M8" s="22"/>
      <c r="N8" s="23"/>
      <c r="O8" s="23"/>
      <c r="P8" s="23"/>
      <c r="Q8" s="23"/>
      <c r="R8" s="23"/>
      <c r="S8" s="23"/>
      <c r="T8" s="23"/>
      <c r="AE8" s="21"/>
      <c r="AF8" s="22"/>
      <c r="AG8" s="21"/>
      <c r="AH8" s="22"/>
      <c r="AI8" s="22"/>
      <c r="AJ8" s="22"/>
      <c r="AK8" s="22"/>
      <c r="AL8" s="22"/>
      <c r="AM8" s="58"/>
      <c r="AN8" s="58"/>
      <c r="AO8" s="58"/>
      <c r="AP8" s="22"/>
      <c r="AQ8" s="22"/>
      <c r="AR8" s="22"/>
    </row>
    <row r="9" spans="1:44" s="25" customFormat="1" ht="32.25">
      <c r="A9" s="94"/>
      <c r="B9" s="225" t="s">
        <v>13</v>
      </c>
      <c r="C9" s="225"/>
      <c r="D9" s="225"/>
      <c r="E9" s="225"/>
      <c r="F9" s="225"/>
      <c r="G9" s="225"/>
      <c r="H9" s="225"/>
      <c r="I9" s="225"/>
      <c r="J9" s="225"/>
      <c r="K9" s="225"/>
      <c r="L9" s="225"/>
      <c r="M9" s="225"/>
      <c r="N9" s="24"/>
      <c r="O9" s="24"/>
      <c r="P9" s="24"/>
      <c r="Q9" s="24"/>
      <c r="R9" s="24"/>
      <c r="S9" s="24"/>
      <c r="T9" s="24"/>
      <c r="AE9" s="21"/>
      <c r="AF9" s="22"/>
      <c r="AG9" s="21"/>
      <c r="AH9" s="22"/>
      <c r="AI9" s="22"/>
      <c r="AJ9" s="22"/>
      <c r="AK9" s="22"/>
      <c r="AL9" s="22"/>
      <c r="AM9" s="58"/>
      <c r="AN9" s="58"/>
      <c r="AO9" s="58"/>
      <c r="AP9" s="22"/>
      <c r="AQ9" s="22"/>
      <c r="AR9" s="22"/>
    </row>
    <row r="10" spans="1:44" s="25" customFormat="1" ht="32.25">
      <c r="A10" s="94"/>
      <c r="B10" s="225" t="s">
        <v>1284</v>
      </c>
      <c r="C10" s="225"/>
      <c r="D10" s="225"/>
      <c r="E10" s="225"/>
      <c r="F10" s="225"/>
      <c r="G10" s="225"/>
      <c r="H10" s="225"/>
      <c r="I10" s="225"/>
      <c r="J10" s="225"/>
      <c r="K10" s="225"/>
      <c r="L10" s="225"/>
      <c r="M10" s="225"/>
      <c r="N10" s="24"/>
      <c r="O10" s="24"/>
      <c r="P10" s="24"/>
      <c r="Q10" s="24"/>
      <c r="R10" s="24"/>
      <c r="S10" s="24"/>
      <c r="T10" s="24"/>
      <c r="AE10" s="225"/>
      <c r="AF10" s="225"/>
      <c r="AG10" s="225"/>
      <c r="AH10" s="225"/>
      <c r="AI10" s="225"/>
      <c r="AJ10" s="225"/>
      <c r="AK10" s="225"/>
      <c r="AL10" s="225"/>
      <c r="AM10" s="225"/>
      <c r="AN10" s="225"/>
      <c r="AO10" s="225"/>
      <c r="AP10" s="225"/>
      <c r="AQ10" s="225"/>
      <c r="AR10" s="225"/>
    </row>
    <row r="11" spans="1:44" s="18" customFormat="1" ht="14.25" customHeight="1">
      <c r="A11" s="94"/>
      <c r="B11" s="60"/>
      <c r="C11" s="60"/>
      <c r="D11" s="60"/>
      <c r="E11" s="60"/>
      <c r="F11" s="60"/>
      <c r="G11" s="60"/>
      <c r="H11" s="89"/>
      <c r="I11" s="89"/>
      <c r="J11" s="81"/>
      <c r="K11" s="60"/>
      <c r="L11" s="60"/>
      <c r="M11" s="60"/>
      <c r="N11" s="19"/>
      <c r="O11" s="19"/>
      <c r="P11" s="19"/>
      <c r="Q11" s="19"/>
      <c r="R11" s="19"/>
      <c r="S11" s="19"/>
      <c r="T11" s="19"/>
      <c r="AE11" s="225"/>
      <c r="AF11" s="225"/>
      <c r="AG11" s="225"/>
      <c r="AH11" s="225"/>
      <c r="AI11" s="225"/>
      <c r="AJ11" s="225"/>
      <c r="AK11" s="225"/>
      <c r="AL11" s="225"/>
      <c r="AM11" s="225"/>
      <c r="AN11" s="225"/>
      <c r="AO11" s="225"/>
      <c r="AP11" s="225"/>
      <c r="AQ11" s="225"/>
      <c r="AR11" s="225"/>
    </row>
    <row r="12" spans="1:44" ht="15.75" customHeight="1" thickBot="1">
      <c r="A12" s="94"/>
      <c r="B12" s="60"/>
      <c r="C12" s="60"/>
      <c r="D12" s="60"/>
      <c r="E12" s="60"/>
      <c r="F12" s="60"/>
      <c r="G12" s="60"/>
      <c r="H12" s="89"/>
      <c r="I12" s="89"/>
      <c r="J12" s="81"/>
      <c r="K12" s="60"/>
      <c r="L12" s="60"/>
      <c r="M12" s="60"/>
      <c r="AE12" s="26"/>
      <c r="AF12" s="27"/>
      <c r="AG12" s="26"/>
      <c r="AH12" s="27"/>
      <c r="AI12" s="27"/>
      <c r="AJ12" s="27"/>
      <c r="AK12" s="27"/>
      <c r="AL12" s="27"/>
      <c r="AM12" s="59"/>
      <c r="AN12" s="59"/>
      <c r="AO12" s="59"/>
      <c r="AP12" s="27"/>
      <c r="AQ12" s="27"/>
      <c r="AR12" s="27"/>
    </row>
    <row r="13" spans="1:44" s="34" customFormat="1" ht="87" customHeight="1" thickBot="1">
      <c r="A13" s="95"/>
      <c r="B13" s="61" t="s">
        <v>15</v>
      </c>
      <c r="C13" s="30" t="s">
        <v>16</v>
      </c>
      <c r="D13" s="31" t="s">
        <v>17</v>
      </c>
      <c r="E13" s="31" t="s">
        <v>18</v>
      </c>
      <c r="F13" s="32" t="s">
        <v>19</v>
      </c>
      <c r="G13" s="30" t="s">
        <v>20</v>
      </c>
      <c r="H13" s="90" t="s">
        <v>21</v>
      </c>
      <c r="I13" s="91" t="s">
        <v>22</v>
      </c>
      <c r="J13" s="82" t="s">
        <v>23</v>
      </c>
      <c r="K13" s="31" t="s">
        <v>24</v>
      </c>
      <c r="L13" s="31" t="s">
        <v>25</v>
      </c>
      <c r="M13" s="33" t="s">
        <v>26</v>
      </c>
      <c r="AE13" s="28"/>
      <c r="AF13" s="28"/>
      <c r="AG13" s="28"/>
      <c r="AH13" s="28"/>
      <c r="AI13" s="28"/>
      <c r="AJ13" s="28"/>
      <c r="AK13" s="28"/>
      <c r="AL13" s="29"/>
      <c r="AM13" s="57"/>
      <c r="AN13" s="57"/>
      <c r="AO13" s="57"/>
      <c r="AP13" s="28"/>
      <c r="AQ13" s="28"/>
      <c r="AR13" s="28"/>
    </row>
    <row r="14" spans="1:44" ht="102" customHeight="1">
      <c r="A14" s="96" t="str">
        <f t="shared" ref="A14:A42" si="0">D14&amp;M14</f>
        <v>24EB0074CONTRACTOR'S ALL RISK POLICY</v>
      </c>
      <c r="B14" s="136">
        <v>1</v>
      </c>
      <c r="C14" s="42" t="s">
        <v>44</v>
      </c>
      <c r="D14" s="36" t="s">
        <v>1518</v>
      </c>
      <c r="E14" s="37" t="s">
        <v>1519</v>
      </c>
      <c r="F14" s="38">
        <v>19002660.32</v>
      </c>
      <c r="G14" s="39">
        <v>45323</v>
      </c>
      <c r="H14" s="39">
        <v>45323</v>
      </c>
      <c r="I14" s="39">
        <v>45689</v>
      </c>
      <c r="J14" s="83" t="s">
        <v>30</v>
      </c>
      <c r="K14" s="40" t="s">
        <v>1520</v>
      </c>
      <c r="L14" s="41" t="s">
        <v>69</v>
      </c>
      <c r="M14" s="35" t="s">
        <v>31</v>
      </c>
    </row>
    <row r="15" spans="1:44" ht="102" customHeight="1">
      <c r="A15" s="96" t="str">
        <f t="shared" ref="A15" si="1">D15&amp;M15</f>
        <v>24EB0074PERFORMANCE BOND</v>
      </c>
      <c r="B15" s="136">
        <v>1</v>
      </c>
      <c r="C15" s="42" t="s">
        <v>44</v>
      </c>
      <c r="D15" s="36" t="s">
        <v>1518</v>
      </c>
      <c r="E15" s="37" t="s">
        <v>1519</v>
      </c>
      <c r="F15" s="38">
        <v>5700798.0999999996</v>
      </c>
      <c r="G15" s="39">
        <v>45323</v>
      </c>
      <c r="H15" s="39">
        <v>45323</v>
      </c>
      <c r="I15" s="39">
        <v>46054</v>
      </c>
      <c r="J15" s="83" t="s">
        <v>27</v>
      </c>
      <c r="K15" s="40" t="s">
        <v>1521</v>
      </c>
      <c r="L15" s="41" t="s">
        <v>69</v>
      </c>
      <c r="M15" s="35" t="s">
        <v>40</v>
      </c>
    </row>
    <row r="16" spans="1:44" ht="102" customHeight="1">
      <c r="A16" s="96" t="str">
        <f t="shared" si="0"/>
        <v>24EB0011CONTRACTOR'S ALL RISK POLICY</v>
      </c>
      <c r="B16" s="136">
        <v>3</v>
      </c>
      <c r="C16" s="42" t="s">
        <v>44</v>
      </c>
      <c r="D16" s="36" t="s">
        <v>1522</v>
      </c>
      <c r="E16" s="37" t="s">
        <v>1523</v>
      </c>
      <c r="F16" s="38">
        <v>48188777.810000002</v>
      </c>
      <c r="G16" s="39">
        <v>45323</v>
      </c>
      <c r="H16" s="39">
        <v>45323</v>
      </c>
      <c r="I16" s="39">
        <v>45689</v>
      </c>
      <c r="J16" s="83" t="s">
        <v>30</v>
      </c>
      <c r="K16" s="40" t="s">
        <v>1524</v>
      </c>
      <c r="L16" s="41" t="s">
        <v>69</v>
      </c>
      <c r="M16" s="35" t="s">
        <v>31</v>
      </c>
    </row>
    <row r="17" spans="1:13" ht="102" customHeight="1">
      <c r="A17" s="96" t="str">
        <f t="shared" ref="A17:A20" si="2">D17&amp;M17</f>
        <v>24EB0011PERFORMANCE BOND</v>
      </c>
      <c r="B17" s="136">
        <v>3</v>
      </c>
      <c r="C17" s="42" t="s">
        <v>44</v>
      </c>
      <c r="D17" s="36" t="s">
        <v>1522</v>
      </c>
      <c r="E17" s="37" t="s">
        <v>1523</v>
      </c>
      <c r="F17" s="38">
        <v>14456633.34</v>
      </c>
      <c r="G17" s="39">
        <v>45323</v>
      </c>
      <c r="H17" s="39">
        <v>45323</v>
      </c>
      <c r="I17" s="39">
        <v>46054</v>
      </c>
      <c r="J17" s="83" t="s">
        <v>27</v>
      </c>
      <c r="K17" s="40" t="s">
        <v>1525</v>
      </c>
      <c r="L17" s="41" t="s">
        <v>69</v>
      </c>
      <c r="M17" s="35" t="s">
        <v>40</v>
      </c>
    </row>
    <row r="18" spans="1:13" ht="102" customHeight="1">
      <c r="A18" s="96" t="str">
        <f t="shared" si="2"/>
        <v>24EB0081CONTRACTOR'S ALL RISK POLICY</v>
      </c>
      <c r="B18" s="136">
        <v>1</v>
      </c>
      <c r="C18" s="42" t="s">
        <v>1526</v>
      </c>
      <c r="D18" s="36" t="s">
        <v>1527</v>
      </c>
      <c r="E18" s="37" t="s">
        <v>1288</v>
      </c>
      <c r="F18" s="38">
        <v>29488370.469999999</v>
      </c>
      <c r="G18" s="39">
        <v>45323</v>
      </c>
      <c r="H18" s="39">
        <v>45323</v>
      </c>
      <c r="I18" s="39">
        <v>45689</v>
      </c>
      <c r="J18" s="83" t="s">
        <v>30</v>
      </c>
      <c r="K18" s="40" t="s">
        <v>1528</v>
      </c>
      <c r="L18" s="41" t="s">
        <v>69</v>
      </c>
      <c r="M18" s="35" t="s">
        <v>31</v>
      </c>
    </row>
    <row r="19" spans="1:13" ht="102" customHeight="1">
      <c r="A19" s="96" t="str">
        <f t="shared" si="2"/>
        <v>24EB0081PERFORMANCE BOND</v>
      </c>
      <c r="B19" s="136">
        <v>166</v>
      </c>
      <c r="C19" s="42" t="s">
        <v>1526</v>
      </c>
      <c r="D19" s="36" t="s">
        <v>1527</v>
      </c>
      <c r="E19" s="37" t="s">
        <v>1288</v>
      </c>
      <c r="F19" s="38">
        <v>8846511.1400000006</v>
      </c>
      <c r="G19" s="39">
        <v>45323</v>
      </c>
      <c r="H19" s="39">
        <v>45323</v>
      </c>
      <c r="I19" s="39">
        <v>46054</v>
      </c>
      <c r="J19" s="83" t="s">
        <v>27</v>
      </c>
      <c r="K19" s="40" t="s">
        <v>1529</v>
      </c>
      <c r="L19" s="41" t="s">
        <v>69</v>
      </c>
      <c r="M19" s="35" t="s">
        <v>40</v>
      </c>
    </row>
    <row r="20" spans="1:13" ht="97.5" customHeight="1">
      <c r="A20" s="96" t="str">
        <f t="shared" si="2"/>
        <v>24EB0082CONTRACTOR'S ALL RISK POLICY</v>
      </c>
      <c r="B20" s="136">
        <v>196</v>
      </c>
      <c r="C20" s="42" t="s">
        <v>44</v>
      </c>
      <c r="D20" s="36" t="s">
        <v>1530</v>
      </c>
      <c r="E20" s="37" t="s">
        <v>1531</v>
      </c>
      <c r="F20" s="38">
        <v>19324235.399999999</v>
      </c>
      <c r="G20" s="39">
        <v>45323</v>
      </c>
      <c r="H20" s="39">
        <v>45323</v>
      </c>
      <c r="I20" s="39">
        <v>45689</v>
      </c>
      <c r="J20" s="83" t="s">
        <v>30</v>
      </c>
      <c r="K20" s="40" t="s">
        <v>1532</v>
      </c>
      <c r="L20" s="41" t="s">
        <v>69</v>
      </c>
      <c r="M20" s="35" t="s">
        <v>31</v>
      </c>
    </row>
    <row r="21" spans="1:13" ht="102" customHeight="1">
      <c r="A21" s="96" t="str">
        <f t="shared" ref="A21:A25" si="3">D21&amp;M21</f>
        <v>24EB0082PERFORMANCE BOND</v>
      </c>
      <c r="B21" s="136">
        <v>3</v>
      </c>
      <c r="C21" s="42" t="s">
        <v>44</v>
      </c>
      <c r="D21" s="36" t="s">
        <v>1530</v>
      </c>
      <c r="E21" s="37" t="s">
        <v>1531</v>
      </c>
      <c r="F21" s="38">
        <v>5797270.6200000001</v>
      </c>
      <c r="G21" s="39">
        <v>45323</v>
      </c>
      <c r="H21" s="39">
        <v>45323</v>
      </c>
      <c r="I21" s="39">
        <v>46054</v>
      </c>
      <c r="J21" s="83" t="s">
        <v>27</v>
      </c>
      <c r="K21" s="40" t="s">
        <v>1533</v>
      </c>
      <c r="L21" s="41" t="s">
        <v>69</v>
      </c>
      <c r="M21" s="35" t="s">
        <v>40</v>
      </c>
    </row>
    <row r="22" spans="1:13" ht="102.75" customHeight="1">
      <c r="A22" s="96" t="str">
        <f t="shared" si="3"/>
        <v>24EB0013CONTRACTOR'S ALL RISK POLICY</v>
      </c>
      <c r="B22" s="136">
        <v>192</v>
      </c>
      <c r="C22" s="42" t="s">
        <v>931</v>
      </c>
      <c r="D22" s="36" t="s">
        <v>1534</v>
      </c>
      <c r="E22" s="37" t="s">
        <v>1536</v>
      </c>
      <c r="F22" s="38">
        <v>59606353.329999998</v>
      </c>
      <c r="G22" s="39">
        <v>45323</v>
      </c>
      <c r="H22" s="39">
        <v>45323</v>
      </c>
      <c r="I22" s="39">
        <v>45689</v>
      </c>
      <c r="J22" s="83" t="s">
        <v>30</v>
      </c>
      <c r="K22" s="40" t="s">
        <v>1535</v>
      </c>
      <c r="L22" s="41" t="s">
        <v>69</v>
      </c>
      <c r="M22" s="35" t="s">
        <v>31</v>
      </c>
    </row>
    <row r="23" spans="1:13" ht="135.75" customHeight="1">
      <c r="A23" s="96" t="str">
        <f t="shared" si="3"/>
        <v>24EB0013PERFORMANCE BOND</v>
      </c>
      <c r="B23" s="136">
        <v>190</v>
      </c>
      <c r="C23" s="42" t="s">
        <v>931</v>
      </c>
      <c r="D23" s="36" t="s">
        <v>1534</v>
      </c>
      <c r="E23" s="37" t="s">
        <v>1536</v>
      </c>
      <c r="F23" s="38">
        <v>17881906</v>
      </c>
      <c r="G23" s="39">
        <v>45323</v>
      </c>
      <c r="H23" s="39">
        <v>45323</v>
      </c>
      <c r="I23" s="39">
        <v>46054</v>
      </c>
      <c r="J23" s="83" t="s">
        <v>27</v>
      </c>
      <c r="K23" s="40" t="s">
        <v>1533</v>
      </c>
      <c r="L23" s="41" t="s">
        <v>69</v>
      </c>
      <c r="M23" s="35" t="s">
        <v>40</v>
      </c>
    </row>
    <row r="24" spans="1:13" ht="109.5" customHeight="1">
      <c r="A24" s="96" t="str">
        <f t="shared" si="3"/>
        <v>24EB0032CONTRACTOR'S ALL RISK POLICY</v>
      </c>
      <c r="B24" s="136">
        <v>194</v>
      </c>
      <c r="C24" s="42" t="s">
        <v>1537</v>
      </c>
      <c r="D24" s="36" t="s">
        <v>1538</v>
      </c>
      <c r="E24" s="37" t="s">
        <v>1539</v>
      </c>
      <c r="F24" s="38">
        <v>86560345.920000002</v>
      </c>
      <c r="G24" s="39">
        <v>45323</v>
      </c>
      <c r="H24" s="39">
        <v>45323</v>
      </c>
      <c r="I24" s="39">
        <v>45689</v>
      </c>
      <c r="J24" s="83" t="s">
        <v>30</v>
      </c>
      <c r="K24" s="40" t="s">
        <v>1540</v>
      </c>
      <c r="L24" s="41" t="s">
        <v>69</v>
      </c>
      <c r="M24" s="35" t="s">
        <v>31</v>
      </c>
    </row>
    <row r="25" spans="1:13" ht="135.75" customHeight="1">
      <c r="A25" s="96" t="str">
        <f t="shared" si="3"/>
        <v>24EB0032PERFORMANCE BOND</v>
      </c>
      <c r="B25" s="136">
        <v>188</v>
      </c>
      <c r="C25" s="42" t="s">
        <v>1537</v>
      </c>
      <c r="D25" s="36" t="s">
        <v>1538</v>
      </c>
      <c r="E25" s="37" t="s">
        <v>1539</v>
      </c>
      <c r="F25" s="38">
        <v>25968103.780000001</v>
      </c>
      <c r="G25" s="39">
        <v>45323</v>
      </c>
      <c r="H25" s="39">
        <v>45323</v>
      </c>
      <c r="I25" s="39">
        <v>46054</v>
      </c>
      <c r="J25" s="83" t="s">
        <v>27</v>
      </c>
      <c r="K25" s="40" t="s">
        <v>1541</v>
      </c>
      <c r="L25" s="41" t="s">
        <v>69</v>
      </c>
      <c r="M25" s="35" t="s">
        <v>40</v>
      </c>
    </row>
    <row r="26" spans="1:13" s="43" customFormat="1" ht="102" customHeight="1">
      <c r="A26" s="96" t="str">
        <f t="shared" si="0"/>
        <v>24EB0073CONTRACTOR'S ALL RISK POLICY</v>
      </c>
      <c r="B26" s="136">
        <v>13</v>
      </c>
      <c r="C26" s="42" t="s">
        <v>1542</v>
      </c>
      <c r="D26" s="36" t="s">
        <v>1543</v>
      </c>
      <c r="E26" s="37" t="s">
        <v>1544</v>
      </c>
      <c r="F26" s="38">
        <v>14283049.050000001</v>
      </c>
      <c r="G26" s="39">
        <v>45323</v>
      </c>
      <c r="H26" s="39">
        <v>45323</v>
      </c>
      <c r="I26" s="39">
        <v>45689</v>
      </c>
      <c r="J26" s="83" t="s">
        <v>30</v>
      </c>
      <c r="K26" s="40" t="s">
        <v>1545</v>
      </c>
      <c r="L26" s="41" t="s">
        <v>69</v>
      </c>
      <c r="M26" s="35" t="s">
        <v>31</v>
      </c>
    </row>
    <row r="27" spans="1:13" s="43" customFormat="1" ht="102" customHeight="1">
      <c r="A27" s="96" t="str">
        <f t="shared" ref="A27" si="4">D27&amp;M27</f>
        <v>24EB0073PERFORMANCE BOND</v>
      </c>
      <c r="B27" s="136">
        <v>13</v>
      </c>
      <c r="C27" s="42" t="s">
        <v>1542</v>
      </c>
      <c r="D27" s="36" t="s">
        <v>1543</v>
      </c>
      <c r="E27" s="37" t="s">
        <v>1544</v>
      </c>
      <c r="F27" s="38">
        <v>4284914.72</v>
      </c>
      <c r="G27" s="39">
        <v>45323</v>
      </c>
      <c r="H27" s="39">
        <v>45323</v>
      </c>
      <c r="I27" s="39">
        <v>46054</v>
      </c>
      <c r="J27" s="83" t="s">
        <v>27</v>
      </c>
      <c r="K27" s="40" t="s">
        <v>1546</v>
      </c>
      <c r="L27" s="41" t="s">
        <v>69</v>
      </c>
      <c r="M27" s="35" t="s">
        <v>40</v>
      </c>
    </row>
    <row r="28" spans="1:13" s="43" customFormat="1" ht="102" customHeight="1">
      <c r="A28" s="96" t="str">
        <f t="shared" ref="A28" si="5">D28&amp;M28</f>
        <v>24EB0019ADVANCE PAYMENT BOND</v>
      </c>
      <c r="B28" s="136">
        <v>13</v>
      </c>
      <c r="C28" s="42" t="s">
        <v>1516</v>
      </c>
      <c r="D28" s="36" t="s">
        <v>1513</v>
      </c>
      <c r="E28" s="37" t="s">
        <v>1514</v>
      </c>
      <c r="F28" s="38">
        <v>8342292.3399999999</v>
      </c>
      <c r="G28" s="39">
        <v>45336</v>
      </c>
      <c r="H28" s="39">
        <v>45336</v>
      </c>
      <c r="I28" s="39">
        <v>45702</v>
      </c>
      <c r="J28" s="83" t="s">
        <v>30</v>
      </c>
      <c r="K28" s="40" t="s">
        <v>1547</v>
      </c>
      <c r="L28" s="41" t="s">
        <v>69</v>
      </c>
      <c r="M28" s="35" t="s">
        <v>34</v>
      </c>
    </row>
    <row r="29" spans="1:13" s="43" customFormat="1" ht="102" customHeight="1">
      <c r="A29" s="96" t="str">
        <f t="shared" ref="A29" si="6">D29&amp;M29</f>
        <v>23EB0105ADVANCE PAYMENT BOND</v>
      </c>
      <c r="B29" s="136">
        <v>13</v>
      </c>
      <c r="C29" s="42" t="s">
        <v>1504</v>
      </c>
      <c r="D29" s="36" t="s">
        <v>1505</v>
      </c>
      <c r="E29" s="37" t="s">
        <v>1509</v>
      </c>
      <c r="F29" s="38">
        <v>14040866.26</v>
      </c>
      <c r="G29" s="39">
        <v>45336</v>
      </c>
      <c r="H29" s="39">
        <v>45336</v>
      </c>
      <c r="I29" s="39">
        <v>45702</v>
      </c>
      <c r="J29" s="83" t="s">
        <v>30</v>
      </c>
      <c r="K29" s="40" t="s">
        <v>1548</v>
      </c>
      <c r="L29" s="41" t="s">
        <v>69</v>
      </c>
      <c r="M29" s="35" t="s">
        <v>34</v>
      </c>
    </row>
    <row r="30" spans="1:13" s="43" customFormat="1" ht="102" customHeight="1">
      <c r="A30" s="96" t="str">
        <f t="shared" si="0"/>
        <v>23EB0106ADVANCE PAYMENT BOND</v>
      </c>
      <c r="B30" s="136">
        <v>17</v>
      </c>
      <c r="C30" s="42" t="s">
        <v>1504</v>
      </c>
      <c r="D30" s="36" t="s">
        <v>1508</v>
      </c>
      <c r="E30" s="37" t="s">
        <v>1510</v>
      </c>
      <c r="F30" s="38">
        <v>14040760.73</v>
      </c>
      <c r="G30" s="39">
        <v>45336</v>
      </c>
      <c r="H30" s="39">
        <v>45336</v>
      </c>
      <c r="I30" s="39">
        <v>45702</v>
      </c>
      <c r="J30" s="83" t="s">
        <v>30</v>
      </c>
      <c r="K30" s="40" t="s">
        <v>1548</v>
      </c>
      <c r="L30" s="41" t="s">
        <v>69</v>
      </c>
      <c r="M30" s="35" t="s">
        <v>34</v>
      </c>
    </row>
    <row r="31" spans="1:13" s="43" customFormat="1" ht="102" customHeight="1">
      <c r="A31" s="96" t="str">
        <f t="shared" si="0"/>
        <v>24EB0011ADVANCE PAYMENT BOND</v>
      </c>
      <c r="B31" s="136">
        <v>13</v>
      </c>
      <c r="C31" s="42" t="s">
        <v>44</v>
      </c>
      <c r="D31" s="36" t="s">
        <v>1522</v>
      </c>
      <c r="E31" s="37" t="s">
        <v>1523</v>
      </c>
      <c r="F31" s="38">
        <v>7228316.6699999999</v>
      </c>
      <c r="G31" s="39">
        <v>45336</v>
      </c>
      <c r="H31" s="39">
        <v>45336</v>
      </c>
      <c r="I31" s="39">
        <v>45702</v>
      </c>
      <c r="J31" s="83" t="s">
        <v>30</v>
      </c>
      <c r="K31" s="40" t="s">
        <v>1550</v>
      </c>
      <c r="L31" s="41" t="s">
        <v>69</v>
      </c>
      <c r="M31" s="35" t="s">
        <v>34</v>
      </c>
    </row>
    <row r="32" spans="1:13" s="43" customFormat="1" ht="102" customHeight="1">
      <c r="A32" s="96" t="str">
        <f t="shared" ref="A32" si="7">D32&amp;M32</f>
        <v>24EB0032ADVANCE PAYMENT BOND</v>
      </c>
      <c r="B32" s="136">
        <v>19</v>
      </c>
      <c r="C32" s="42" t="s">
        <v>1537</v>
      </c>
      <c r="D32" s="36" t="s">
        <v>1538</v>
      </c>
      <c r="E32" s="37" t="s">
        <v>1539</v>
      </c>
      <c r="F32" s="38">
        <v>12984051.890000001</v>
      </c>
      <c r="G32" s="39">
        <v>45336</v>
      </c>
      <c r="H32" s="39">
        <v>45336</v>
      </c>
      <c r="I32" s="39">
        <v>45702</v>
      </c>
      <c r="J32" s="83" t="s">
        <v>30</v>
      </c>
      <c r="K32" s="40" t="s">
        <v>1551</v>
      </c>
      <c r="L32" s="41" t="s">
        <v>69</v>
      </c>
      <c r="M32" s="35" t="s">
        <v>34</v>
      </c>
    </row>
    <row r="33" spans="1:13" s="43" customFormat="1" ht="102" customHeight="1">
      <c r="A33" s="96" t="str">
        <f t="shared" ref="A33" si="8">D33&amp;M33</f>
        <v>24EB0074ADVANCE PAYMENT BOND</v>
      </c>
      <c r="B33" s="136">
        <v>19</v>
      </c>
      <c r="C33" s="42" t="s">
        <v>44</v>
      </c>
      <c r="D33" s="36" t="s">
        <v>1518</v>
      </c>
      <c r="E33" s="37" t="s">
        <v>1519</v>
      </c>
      <c r="F33" s="38">
        <v>2850399.05</v>
      </c>
      <c r="G33" s="39">
        <v>45336</v>
      </c>
      <c r="H33" s="39">
        <v>45336</v>
      </c>
      <c r="I33" s="39">
        <v>45702</v>
      </c>
      <c r="J33" s="83" t="s">
        <v>30</v>
      </c>
      <c r="K33" s="40" t="s">
        <v>1551</v>
      </c>
      <c r="L33" s="41" t="s">
        <v>69</v>
      </c>
      <c r="M33" s="35" t="s">
        <v>34</v>
      </c>
    </row>
    <row r="34" spans="1:13" s="43" customFormat="1" ht="102" customHeight="1">
      <c r="A34" s="96" t="str">
        <f t="shared" ref="A34" si="9">D34&amp;M34</f>
        <v>24EB0082ADVANCE PAYMENT BOND</v>
      </c>
      <c r="B34" s="136">
        <v>19</v>
      </c>
      <c r="C34" s="42" t="s">
        <v>44</v>
      </c>
      <c r="D34" s="36" t="s">
        <v>1530</v>
      </c>
      <c r="E34" s="37" t="s">
        <v>1531</v>
      </c>
      <c r="F34" s="38">
        <v>2898635.31</v>
      </c>
      <c r="G34" s="39">
        <v>45336</v>
      </c>
      <c r="H34" s="39">
        <v>45336</v>
      </c>
      <c r="I34" s="39">
        <v>45702</v>
      </c>
      <c r="J34" s="83" t="s">
        <v>30</v>
      </c>
      <c r="K34" s="40" t="s">
        <v>1552</v>
      </c>
      <c r="L34" s="41" t="s">
        <v>69</v>
      </c>
      <c r="M34" s="35" t="s">
        <v>34</v>
      </c>
    </row>
    <row r="35" spans="1:13" s="43" customFormat="1" ht="102" customHeight="1">
      <c r="A35" s="96" t="str">
        <f t="shared" ref="A35" si="10">D35&amp;M35</f>
        <v>24EB0073ADVANCE PAYMENT BOND</v>
      </c>
      <c r="B35" s="136">
        <v>17</v>
      </c>
      <c r="C35" s="42" t="s">
        <v>1542</v>
      </c>
      <c r="D35" s="36" t="s">
        <v>1543</v>
      </c>
      <c r="E35" s="37" t="s">
        <v>1544</v>
      </c>
      <c r="F35" s="38">
        <v>2142457.35</v>
      </c>
      <c r="G35" s="39">
        <v>45336</v>
      </c>
      <c r="H35" s="39">
        <v>45336</v>
      </c>
      <c r="I35" s="39">
        <v>45702</v>
      </c>
      <c r="J35" s="83" t="s">
        <v>30</v>
      </c>
      <c r="K35" s="40" t="s">
        <v>1553</v>
      </c>
      <c r="L35" s="41" t="s">
        <v>69</v>
      </c>
      <c r="M35" s="35" t="s">
        <v>34</v>
      </c>
    </row>
    <row r="36" spans="1:13" s="43" customFormat="1" ht="102" customHeight="1">
      <c r="A36" s="96" t="str">
        <f t="shared" ref="A36:A37" si="11">D36&amp;M36</f>
        <v>24EB0058ADVANCE PAYMENT BOND</v>
      </c>
      <c r="B36" s="136">
        <v>17</v>
      </c>
      <c r="C36" s="42" t="s">
        <v>75</v>
      </c>
      <c r="D36" s="36" t="s">
        <v>1457</v>
      </c>
      <c r="E36" s="37" t="s">
        <v>1458</v>
      </c>
      <c r="F36" s="38">
        <v>727580.45</v>
      </c>
      <c r="G36" s="39">
        <v>45330</v>
      </c>
      <c r="H36" s="39">
        <v>45330</v>
      </c>
      <c r="I36" s="39">
        <v>45696</v>
      </c>
      <c r="J36" s="83" t="s">
        <v>30</v>
      </c>
      <c r="K36" s="40" t="s">
        <v>1554</v>
      </c>
      <c r="L36" s="41" t="s">
        <v>35</v>
      </c>
      <c r="M36" s="35" t="s">
        <v>34</v>
      </c>
    </row>
    <row r="37" spans="1:13" s="43" customFormat="1" ht="102" customHeight="1">
      <c r="A37" s="96" t="str">
        <f t="shared" si="11"/>
        <v>24EB0041ADVANCE PAYMENT BOND</v>
      </c>
      <c r="B37" s="136">
        <v>17</v>
      </c>
      <c r="C37" s="42" t="s">
        <v>75</v>
      </c>
      <c r="D37" s="36" t="s">
        <v>1497</v>
      </c>
      <c r="E37" s="37" t="s">
        <v>1498</v>
      </c>
      <c r="F37" s="38">
        <v>2127757.77</v>
      </c>
      <c r="G37" s="39">
        <v>45330</v>
      </c>
      <c r="H37" s="39">
        <v>45330</v>
      </c>
      <c r="I37" s="39">
        <v>45696</v>
      </c>
      <c r="J37" s="83" t="s">
        <v>30</v>
      </c>
      <c r="K37" s="40" t="s">
        <v>1556</v>
      </c>
      <c r="L37" s="41" t="s">
        <v>35</v>
      </c>
      <c r="M37" s="35" t="s">
        <v>34</v>
      </c>
    </row>
    <row r="38" spans="1:13" s="43" customFormat="1" ht="102" customHeight="1">
      <c r="A38" s="96" t="str">
        <f t="shared" ref="A38" si="12">D38&amp;M38</f>
        <v>24EB0010-R1ADVANCE PAYMENT BOND</v>
      </c>
      <c r="B38" s="136">
        <v>17</v>
      </c>
      <c r="C38" s="42" t="s">
        <v>75</v>
      </c>
      <c r="D38" s="36" t="s">
        <v>1461</v>
      </c>
      <c r="E38" s="37" t="s">
        <v>1462</v>
      </c>
      <c r="F38" s="38">
        <v>3601500</v>
      </c>
      <c r="G38" s="39">
        <v>45330</v>
      </c>
      <c r="H38" s="39">
        <v>45330</v>
      </c>
      <c r="I38" s="39">
        <v>45696</v>
      </c>
      <c r="J38" s="83" t="s">
        <v>30</v>
      </c>
      <c r="K38" s="40" t="s">
        <v>1557</v>
      </c>
      <c r="L38" s="41" t="s">
        <v>35</v>
      </c>
      <c r="M38" s="35" t="s">
        <v>34</v>
      </c>
    </row>
    <row r="39" spans="1:13" s="43" customFormat="1" ht="102" customHeight="1">
      <c r="A39" s="96" t="str">
        <f t="shared" ref="A39" si="13">D39&amp;M39</f>
        <v>24EB0002ADVANCE PAYMENT BOND</v>
      </c>
      <c r="B39" s="136">
        <v>17</v>
      </c>
      <c r="C39" s="42" t="s">
        <v>75</v>
      </c>
      <c r="D39" s="36" t="s">
        <v>1493</v>
      </c>
      <c r="E39" s="37" t="s">
        <v>1494</v>
      </c>
      <c r="F39" s="38">
        <v>1001277.61</v>
      </c>
      <c r="G39" s="39">
        <v>45330</v>
      </c>
      <c r="H39" s="39">
        <v>45330</v>
      </c>
      <c r="I39" s="39">
        <v>45696</v>
      </c>
      <c r="J39" s="83" t="s">
        <v>30</v>
      </c>
      <c r="K39" s="40" t="s">
        <v>1558</v>
      </c>
      <c r="L39" s="41" t="s">
        <v>35</v>
      </c>
      <c r="M39" s="35" t="s">
        <v>34</v>
      </c>
    </row>
    <row r="40" spans="1:13" s="43" customFormat="1" ht="102" customHeight="1">
      <c r="A40" s="96" t="str">
        <f t="shared" ref="A40" si="14">D40&amp;M40</f>
        <v>24EB0040ADVANCE PAYMENT BOND</v>
      </c>
      <c r="B40" s="136">
        <v>13</v>
      </c>
      <c r="C40" s="42" t="s">
        <v>43</v>
      </c>
      <c r="D40" s="36" t="s">
        <v>1484</v>
      </c>
      <c r="E40" s="37" t="s">
        <v>1485</v>
      </c>
      <c r="F40" s="38">
        <v>2138128.7400000002</v>
      </c>
      <c r="G40" s="39">
        <v>45330</v>
      </c>
      <c r="H40" s="39">
        <v>45330</v>
      </c>
      <c r="I40" s="39">
        <v>45696</v>
      </c>
      <c r="J40" s="83" t="s">
        <v>30</v>
      </c>
      <c r="K40" s="40" t="s">
        <v>1559</v>
      </c>
      <c r="L40" s="41" t="s">
        <v>35</v>
      </c>
      <c r="M40" s="35" t="s">
        <v>34</v>
      </c>
    </row>
    <row r="41" spans="1:13" s="43" customFormat="1" ht="135.75" customHeight="1">
      <c r="A41" s="96" t="str">
        <f t="shared" si="0"/>
        <v>24EB0043ADVANCE PAYMENT BOND</v>
      </c>
      <c r="B41" s="151">
        <v>28</v>
      </c>
      <c r="C41" s="42" t="s">
        <v>1488</v>
      </c>
      <c r="D41" s="36" t="s">
        <v>1490</v>
      </c>
      <c r="E41" s="37" t="s">
        <v>1489</v>
      </c>
      <c r="F41" s="38">
        <v>2183005.3199999998</v>
      </c>
      <c r="G41" s="39">
        <v>45330</v>
      </c>
      <c r="H41" s="39">
        <v>45330</v>
      </c>
      <c r="I41" s="39">
        <v>45696</v>
      </c>
      <c r="J41" s="83" t="s">
        <v>30</v>
      </c>
      <c r="K41" s="40" t="s">
        <v>1560</v>
      </c>
      <c r="L41" s="41" t="s">
        <v>35</v>
      </c>
      <c r="M41" s="35" t="s">
        <v>34</v>
      </c>
    </row>
    <row r="42" spans="1:13" ht="96" customHeight="1">
      <c r="A42" s="96" t="str">
        <f t="shared" si="0"/>
        <v>24EB0005CONTRACTOR'S ALL RISK POLICY</v>
      </c>
      <c r="B42" s="136">
        <v>40</v>
      </c>
      <c r="C42" s="42" t="s">
        <v>38</v>
      </c>
      <c r="D42" s="36" t="s">
        <v>1561</v>
      </c>
      <c r="E42" s="37" t="s">
        <v>1562</v>
      </c>
      <c r="F42" s="38">
        <v>1742300.3</v>
      </c>
      <c r="G42" s="39">
        <v>45316</v>
      </c>
      <c r="H42" s="39">
        <v>45316</v>
      </c>
      <c r="I42" s="39">
        <v>45682</v>
      </c>
      <c r="J42" s="83" t="s">
        <v>30</v>
      </c>
      <c r="K42" s="40" t="s">
        <v>1563</v>
      </c>
      <c r="L42" s="41" t="s">
        <v>35</v>
      </c>
      <c r="M42" s="35" t="s">
        <v>31</v>
      </c>
    </row>
    <row r="43" spans="1:13" ht="131.25" customHeight="1">
      <c r="A43" s="96" t="str">
        <f t="shared" ref="A43" si="15">D43&amp;M43</f>
        <v>24EB0005PERFORMANCE BOND</v>
      </c>
      <c r="B43" s="136">
        <v>29</v>
      </c>
      <c r="C43" s="42" t="s">
        <v>38</v>
      </c>
      <c r="D43" s="36" t="s">
        <v>1561</v>
      </c>
      <c r="E43" s="37" t="s">
        <v>1562</v>
      </c>
      <c r="F43" s="38">
        <v>522690</v>
      </c>
      <c r="G43" s="39">
        <v>45316</v>
      </c>
      <c r="H43" s="39">
        <v>45316</v>
      </c>
      <c r="I43" s="39">
        <v>46047</v>
      </c>
      <c r="J43" s="83" t="s">
        <v>30</v>
      </c>
      <c r="K43" s="40" t="s">
        <v>1564</v>
      </c>
      <c r="L43" s="41" t="s">
        <v>35</v>
      </c>
      <c r="M43" s="35" t="s">
        <v>40</v>
      </c>
    </row>
    <row r="44" spans="1:13" ht="131.25" customHeight="1">
      <c r="A44" s="96" t="str">
        <f t="shared" ref="A44" si="16">D44&amp;M44</f>
        <v>24EB0062ADVANCE PAYMENT BOND</v>
      </c>
      <c r="B44" s="136">
        <v>29</v>
      </c>
      <c r="C44" s="42" t="s">
        <v>36</v>
      </c>
      <c r="D44" s="36" t="s">
        <v>1565</v>
      </c>
      <c r="E44" s="37" t="s">
        <v>1566</v>
      </c>
      <c r="F44" s="38">
        <v>5704234.29</v>
      </c>
      <c r="G44" s="39">
        <v>45337</v>
      </c>
      <c r="H44" s="39">
        <v>45337</v>
      </c>
      <c r="I44" s="39">
        <v>45703</v>
      </c>
      <c r="J44" s="83" t="s">
        <v>30</v>
      </c>
      <c r="K44" s="40" t="s">
        <v>1567</v>
      </c>
      <c r="L44" s="41" t="s">
        <v>35</v>
      </c>
      <c r="M44" s="35" t="s">
        <v>34</v>
      </c>
    </row>
    <row r="45" spans="1:13" ht="94.5" customHeight="1">
      <c r="A45" s="96" t="str">
        <f>D45&amp;M45</f>
        <v>24EB0062CONTRACTOR'S ALL RISK POLICY</v>
      </c>
      <c r="B45" s="136">
        <v>31</v>
      </c>
      <c r="C45" s="42" t="s">
        <v>36</v>
      </c>
      <c r="D45" s="36" t="s">
        <v>1565</v>
      </c>
      <c r="E45" s="37" t="s">
        <v>1566</v>
      </c>
      <c r="F45" s="38">
        <v>38028228.640000001</v>
      </c>
      <c r="G45" s="39">
        <v>45323</v>
      </c>
      <c r="H45" s="39">
        <v>45323</v>
      </c>
      <c r="I45" s="39">
        <v>45689</v>
      </c>
      <c r="J45" s="83" t="s">
        <v>30</v>
      </c>
      <c r="K45" s="40" t="s">
        <v>1568</v>
      </c>
      <c r="L45" s="41" t="s">
        <v>35</v>
      </c>
      <c r="M45" s="35" t="s">
        <v>31</v>
      </c>
    </row>
    <row r="46" spans="1:13" ht="96" customHeight="1">
      <c r="A46" s="96" t="str">
        <f t="shared" ref="A46:A74" si="17">D46&amp;M46</f>
        <v>24EB0062PERFORMANCE BOND</v>
      </c>
      <c r="B46" s="136">
        <v>33</v>
      </c>
      <c r="C46" s="42" t="s">
        <v>36</v>
      </c>
      <c r="D46" s="36" t="s">
        <v>1565</v>
      </c>
      <c r="E46" s="37" t="s">
        <v>1566</v>
      </c>
      <c r="F46" s="38">
        <v>11408468.59</v>
      </c>
      <c r="G46" s="39">
        <v>45323</v>
      </c>
      <c r="H46" s="39">
        <v>45323</v>
      </c>
      <c r="I46" s="39">
        <v>46054</v>
      </c>
      <c r="J46" s="83" t="s">
        <v>27</v>
      </c>
      <c r="K46" s="40" t="s">
        <v>1569</v>
      </c>
      <c r="L46" s="41" t="s">
        <v>35</v>
      </c>
      <c r="M46" s="35" t="s">
        <v>40</v>
      </c>
    </row>
    <row r="47" spans="1:13" ht="96" customHeight="1">
      <c r="A47" s="96" t="str">
        <f t="shared" ref="A47" si="18">D47&amp;M47</f>
        <v>24EB0009CONTRACTOR'S ALL RISK POLICY</v>
      </c>
      <c r="B47" s="136">
        <v>33</v>
      </c>
      <c r="C47" s="42" t="s">
        <v>38</v>
      </c>
      <c r="D47" s="36" t="s">
        <v>1571</v>
      </c>
      <c r="E47" s="37" t="s">
        <v>1570</v>
      </c>
      <c r="F47" s="38">
        <v>7130456</v>
      </c>
      <c r="G47" s="39">
        <v>45316</v>
      </c>
      <c r="H47" s="39">
        <v>45316</v>
      </c>
      <c r="I47" s="39">
        <v>45682</v>
      </c>
      <c r="J47" s="83" t="s">
        <v>30</v>
      </c>
      <c r="K47" s="40" t="s">
        <v>1572</v>
      </c>
      <c r="L47" s="41" t="s">
        <v>35</v>
      </c>
      <c r="M47" s="35" t="s">
        <v>31</v>
      </c>
    </row>
    <row r="48" spans="1:13" ht="96" customHeight="1">
      <c r="A48" s="96" t="str">
        <f t="shared" ref="A48" si="19">D48&amp;M48</f>
        <v>24EB0009PERFORMANCE BOND</v>
      </c>
      <c r="B48" s="136">
        <v>33</v>
      </c>
      <c r="C48" s="42" t="s">
        <v>38</v>
      </c>
      <c r="D48" s="36" t="s">
        <v>1571</v>
      </c>
      <c r="E48" s="37" t="s">
        <v>1570</v>
      </c>
      <c r="F48" s="38">
        <v>2139136.7999999998</v>
      </c>
      <c r="G48" s="39">
        <v>45316</v>
      </c>
      <c r="H48" s="39">
        <v>45316</v>
      </c>
      <c r="I48" s="39">
        <v>46047</v>
      </c>
      <c r="J48" s="83" t="s">
        <v>30</v>
      </c>
      <c r="K48" s="40" t="s">
        <v>1573</v>
      </c>
      <c r="L48" s="41" t="s">
        <v>35</v>
      </c>
      <c r="M48" s="35" t="s">
        <v>40</v>
      </c>
    </row>
    <row r="49" spans="1:13" ht="94.5" customHeight="1">
      <c r="A49" s="96" t="str">
        <f>D49&amp;M49</f>
        <v>24EB0053CONTRACTOR'S ALL RISK POLICY</v>
      </c>
      <c r="B49" s="136">
        <v>31</v>
      </c>
      <c r="C49" s="42" t="s">
        <v>38</v>
      </c>
      <c r="D49" s="36" t="s">
        <v>1575</v>
      </c>
      <c r="E49" s="150" t="s">
        <v>1574</v>
      </c>
      <c r="F49" s="38">
        <v>4796606.7699999996</v>
      </c>
      <c r="G49" s="39">
        <v>45316</v>
      </c>
      <c r="H49" s="39">
        <v>45316</v>
      </c>
      <c r="I49" s="39">
        <v>45682</v>
      </c>
      <c r="J49" s="83" t="s">
        <v>30</v>
      </c>
      <c r="K49" s="40" t="s">
        <v>1576</v>
      </c>
      <c r="L49" s="41" t="s">
        <v>35</v>
      </c>
      <c r="M49" s="35" t="s">
        <v>31</v>
      </c>
    </row>
    <row r="50" spans="1:13" ht="96" customHeight="1">
      <c r="A50" s="96" t="str">
        <f t="shared" ref="A50" si="20">D50&amp;M50</f>
        <v>24EB0053PERFORMANCE BOND</v>
      </c>
      <c r="B50" s="136">
        <v>37</v>
      </c>
      <c r="C50" s="42" t="s">
        <v>38</v>
      </c>
      <c r="D50" s="36" t="s">
        <v>1575</v>
      </c>
      <c r="E50" s="150" t="s">
        <v>1574</v>
      </c>
      <c r="F50" s="38">
        <v>1438982.03</v>
      </c>
      <c r="G50" s="39">
        <v>45316</v>
      </c>
      <c r="H50" s="39">
        <v>45316</v>
      </c>
      <c r="I50" s="39">
        <v>46047</v>
      </c>
      <c r="J50" s="83" t="s">
        <v>30</v>
      </c>
      <c r="K50" s="40" t="s">
        <v>1577</v>
      </c>
      <c r="L50" s="41" t="s">
        <v>35</v>
      </c>
      <c r="M50" s="35" t="s">
        <v>40</v>
      </c>
    </row>
    <row r="51" spans="1:13" ht="96" customHeight="1">
      <c r="A51" s="96" t="str">
        <f t="shared" ref="A51" si="21">D51&amp;M51</f>
        <v>24EB0003CONTRACTOR'S ALL RISK POLICY</v>
      </c>
      <c r="B51" s="136">
        <v>37</v>
      </c>
      <c r="C51" s="42" t="s">
        <v>38</v>
      </c>
      <c r="D51" s="36" t="s">
        <v>1578</v>
      </c>
      <c r="E51" s="37" t="s">
        <v>1579</v>
      </c>
      <c r="F51" s="38">
        <v>2743710.03</v>
      </c>
      <c r="G51" s="39">
        <v>45316</v>
      </c>
      <c r="H51" s="39">
        <v>45316</v>
      </c>
      <c r="I51" s="39">
        <v>45682</v>
      </c>
      <c r="J51" s="83" t="s">
        <v>30</v>
      </c>
      <c r="K51" s="40" t="s">
        <v>1576</v>
      </c>
      <c r="L51" s="41" t="s">
        <v>35</v>
      </c>
      <c r="M51" s="35" t="s">
        <v>31</v>
      </c>
    </row>
    <row r="52" spans="1:13" ht="96" customHeight="1">
      <c r="A52" s="96" t="str">
        <f t="shared" ref="A52" si="22">D52&amp;M52</f>
        <v>24EB0003PERFORMANCE BOND</v>
      </c>
      <c r="B52" s="136">
        <v>37</v>
      </c>
      <c r="C52" s="42" t="s">
        <v>38</v>
      </c>
      <c r="D52" s="36" t="s">
        <v>1578</v>
      </c>
      <c r="E52" s="37" t="s">
        <v>1579</v>
      </c>
      <c r="F52" s="38">
        <v>823113.01</v>
      </c>
      <c r="G52" s="39">
        <v>45316</v>
      </c>
      <c r="H52" s="39">
        <v>45316</v>
      </c>
      <c r="I52" s="39">
        <v>46047</v>
      </c>
      <c r="J52" s="83" t="s">
        <v>30</v>
      </c>
      <c r="K52" s="40" t="s">
        <v>1580</v>
      </c>
      <c r="L52" s="41" t="s">
        <v>35</v>
      </c>
      <c r="M52" s="35" t="s">
        <v>40</v>
      </c>
    </row>
    <row r="53" spans="1:13" ht="96" customHeight="1">
      <c r="A53" s="96" t="str">
        <f t="shared" ref="A53" si="23">D53&amp;M53</f>
        <v>24EB0004CONTRACTOR'S ALL RISK POLICY</v>
      </c>
      <c r="B53" s="136">
        <v>37</v>
      </c>
      <c r="C53" s="42" t="s">
        <v>38</v>
      </c>
      <c r="D53" s="36" t="s">
        <v>1581</v>
      </c>
      <c r="E53" s="37" t="s">
        <v>1582</v>
      </c>
      <c r="F53" s="38">
        <v>16778293.82</v>
      </c>
      <c r="G53" s="39">
        <v>45316</v>
      </c>
      <c r="H53" s="39">
        <v>45316</v>
      </c>
      <c r="I53" s="39">
        <v>45682</v>
      </c>
      <c r="J53" s="83" t="s">
        <v>30</v>
      </c>
      <c r="K53" s="40" t="s">
        <v>1583</v>
      </c>
      <c r="L53" s="41" t="s">
        <v>35</v>
      </c>
      <c r="M53" s="35" t="s">
        <v>31</v>
      </c>
    </row>
    <row r="54" spans="1:13" ht="96" customHeight="1">
      <c r="A54" s="96" t="str">
        <f t="shared" ref="A54" si="24">D54&amp;M54</f>
        <v>24EB0004PERFORMANCE BOND</v>
      </c>
      <c r="B54" s="136">
        <v>37</v>
      </c>
      <c r="C54" s="42" t="s">
        <v>38</v>
      </c>
      <c r="D54" s="36" t="s">
        <v>1581</v>
      </c>
      <c r="E54" s="37" t="s">
        <v>1582</v>
      </c>
      <c r="F54" s="38">
        <v>5033488.1500000004</v>
      </c>
      <c r="G54" s="39">
        <v>45316</v>
      </c>
      <c r="H54" s="39">
        <v>45316</v>
      </c>
      <c r="I54" s="39">
        <v>46047</v>
      </c>
      <c r="J54" s="83" t="s">
        <v>27</v>
      </c>
      <c r="K54" s="40" t="s">
        <v>1580</v>
      </c>
      <c r="L54" s="41" t="s">
        <v>35</v>
      </c>
      <c r="M54" s="35" t="s">
        <v>40</v>
      </c>
    </row>
    <row r="55" spans="1:13" ht="96" customHeight="1">
      <c r="A55" s="96" t="str">
        <f t="shared" ref="A55" si="25">D55&amp;M55</f>
        <v>24EB0006CONTRACTOR'S ALL RISK POLICY</v>
      </c>
      <c r="B55" s="136">
        <v>37</v>
      </c>
      <c r="C55" s="42" t="s">
        <v>38</v>
      </c>
      <c r="D55" s="36" t="s">
        <v>1584</v>
      </c>
      <c r="E55" s="37" t="s">
        <v>1585</v>
      </c>
      <c r="F55" s="38">
        <v>11868561.439999999</v>
      </c>
      <c r="G55" s="39">
        <v>45316</v>
      </c>
      <c r="H55" s="39">
        <v>45316</v>
      </c>
      <c r="I55" s="39">
        <v>45682</v>
      </c>
      <c r="J55" s="83" t="s">
        <v>30</v>
      </c>
      <c r="K55" s="40" t="s">
        <v>1586</v>
      </c>
      <c r="L55" s="41" t="s">
        <v>35</v>
      </c>
      <c r="M55" s="35" t="s">
        <v>31</v>
      </c>
    </row>
    <row r="56" spans="1:13" ht="96" customHeight="1">
      <c r="A56" s="96" t="str">
        <f t="shared" ref="A56" si="26">D56&amp;M56</f>
        <v>24EB0006PERFORMANCE BOND</v>
      </c>
      <c r="B56" s="136">
        <v>40</v>
      </c>
      <c r="C56" s="42" t="s">
        <v>38</v>
      </c>
      <c r="D56" s="36" t="s">
        <v>1584</v>
      </c>
      <c r="E56" s="37" t="s">
        <v>1585</v>
      </c>
      <c r="F56" s="38">
        <v>3560568.43</v>
      </c>
      <c r="G56" s="39">
        <v>45316</v>
      </c>
      <c r="H56" s="39">
        <v>45316</v>
      </c>
      <c r="I56" s="39">
        <v>46047</v>
      </c>
      <c r="J56" s="83" t="s">
        <v>27</v>
      </c>
      <c r="K56" s="40" t="s">
        <v>1587</v>
      </c>
      <c r="L56" s="41" t="s">
        <v>35</v>
      </c>
      <c r="M56" s="35" t="s">
        <v>40</v>
      </c>
    </row>
    <row r="57" spans="1:13" ht="96" customHeight="1">
      <c r="A57" s="96" t="str">
        <f t="shared" ref="A57" si="27">D57&amp;M57</f>
        <v>24EB0060CONTRACTOR'S ALL RISK POLICY</v>
      </c>
      <c r="B57" s="136">
        <v>40</v>
      </c>
      <c r="C57" s="42" t="s">
        <v>38</v>
      </c>
      <c r="D57" s="36" t="s">
        <v>1588</v>
      </c>
      <c r="E57" s="37" t="s">
        <v>1589</v>
      </c>
      <c r="F57" s="38">
        <v>1682125.19</v>
      </c>
      <c r="G57" s="39">
        <v>45316</v>
      </c>
      <c r="H57" s="39">
        <v>45316</v>
      </c>
      <c r="I57" s="39">
        <v>45682</v>
      </c>
      <c r="J57" s="83" t="s">
        <v>30</v>
      </c>
      <c r="K57" s="40" t="s">
        <v>1590</v>
      </c>
      <c r="L57" s="41" t="s">
        <v>35</v>
      </c>
      <c r="M57" s="35" t="s">
        <v>31</v>
      </c>
    </row>
    <row r="58" spans="1:13" ht="96" customHeight="1">
      <c r="A58" s="96" t="str">
        <f t="shared" ref="A58" si="28">D58&amp;M58</f>
        <v>24EB0060PERFORMANCE BOND</v>
      </c>
      <c r="B58" s="136">
        <v>40</v>
      </c>
      <c r="C58" s="42" t="s">
        <v>38</v>
      </c>
      <c r="D58" s="36" t="s">
        <v>1588</v>
      </c>
      <c r="E58" s="37" t="s">
        <v>1589</v>
      </c>
      <c r="F58" s="38">
        <v>1441821.59</v>
      </c>
      <c r="G58" s="39">
        <v>45316</v>
      </c>
      <c r="H58" s="39">
        <v>45316</v>
      </c>
      <c r="I58" s="39">
        <v>46047</v>
      </c>
      <c r="J58" s="83" t="s">
        <v>27</v>
      </c>
      <c r="K58" s="40" t="s">
        <v>1591</v>
      </c>
      <c r="L58" s="41" t="s">
        <v>35</v>
      </c>
      <c r="M58" s="35" t="s">
        <v>40</v>
      </c>
    </row>
    <row r="59" spans="1:13" s="43" customFormat="1" ht="96" customHeight="1">
      <c r="A59" s="96" t="str">
        <f t="shared" si="17"/>
        <v>24EB0023CONTRACTOR'S ALL RISK POLICY</v>
      </c>
      <c r="B59" s="151">
        <v>46</v>
      </c>
      <c r="C59" s="42" t="s">
        <v>38</v>
      </c>
      <c r="D59" s="36" t="s">
        <v>1592</v>
      </c>
      <c r="E59" s="37" t="s">
        <v>1593</v>
      </c>
      <c r="F59" s="38">
        <v>1208568.44</v>
      </c>
      <c r="G59" s="39">
        <v>45316</v>
      </c>
      <c r="H59" s="39">
        <v>45316</v>
      </c>
      <c r="I59" s="39">
        <v>45682</v>
      </c>
      <c r="J59" s="83" t="s">
        <v>30</v>
      </c>
      <c r="K59" s="40" t="s">
        <v>1594</v>
      </c>
      <c r="L59" s="41" t="s">
        <v>35</v>
      </c>
      <c r="M59" s="35" t="s">
        <v>31</v>
      </c>
    </row>
    <row r="60" spans="1:13" ht="96" customHeight="1">
      <c r="A60" s="96" t="str">
        <f t="shared" si="17"/>
        <v>24EB0023PERFORMANCE BOND</v>
      </c>
      <c r="B60" s="136">
        <v>47</v>
      </c>
      <c r="C60" s="42" t="s">
        <v>38</v>
      </c>
      <c r="D60" s="36" t="s">
        <v>1592</v>
      </c>
      <c r="E60" s="37" t="s">
        <v>1593</v>
      </c>
      <c r="F60" s="38">
        <v>362570.53</v>
      </c>
      <c r="G60" s="39">
        <v>45316</v>
      </c>
      <c r="H60" s="39">
        <v>45316</v>
      </c>
      <c r="I60" s="39">
        <v>46047</v>
      </c>
      <c r="J60" s="83" t="s">
        <v>27</v>
      </c>
      <c r="K60" s="40" t="s">
        <v>1595</v>
      </c>
      <c r="L60" s="41" t="s">
        <v>35</v>
      </c>
      <c r="M60" s="35" t="s">
        <v>40</v>
      </c>
    </row>
    <row r="61" spans="1:13" ht="96" customHeight="1">
      <c r="A61" s="96" t="str">
        <f t="shared" ref="A61" si="29">D61&amp;M61</f>
        <v>24EB0020CONTRACTOR'S ALL RISK POLICY</v>
      </c>
      <c r="B61" s="136">
        <v>47</v>
      </c>
      <c r="C61" s="42" t="s">
        <v>38</v>
      </c>
      <c r="D61" s="36" t="s">
        <v>1596</v>
      </c>
      <c r="E61" s="37" t="s">
        <v>1598</v>
      </c>
      <c r="F61" s="38">
        <v>4253508.5599999996</v>
      </c>
      <c r="G61" s="39">
        <v>45316</v>
      </c>
      <c r="H61" s="39">
        <v>45316</v>
      </c>
      <c r="I61" s="39">
        <v>45682</v>
      </c>
      <c r="J61" s="83" t="s">
        <v>30</v>
      </c>
      <c r="K61" s="40" t="s">
        <v>1597</v>
      </c>
      <c r="L61" s="41" t="s">
        <v>35</v>
      </c>
      <c r="M61" s="35" t="s">
        <v>31</v>
      </c>
    </row>
    <row r="62" spans="1:13" ht="96" customHeight="1">
      <c r="A62" s="96" t="str">
        <f t="shared" ref="A62:A63" si="30">D62&amp;M62</f>
        <v>24EB0020PERFORMANCE BOND</v>
      </c>
      <c r="B62" s="136">
        <v>47</v>
      </c>
      <c r="C62" s="42" t="s">
        <v>38</v>
      </c>
      <c r="D62" s="36" t="s">
        <v>1596</v>
      </c>
      <c r="E62" s="37" t="s">
        <v>1598</v>
      </c>
      <c r="F62" s="38">
        <v>1276052.57</v>
      </c>
      <c r="G62" s="39">
        <v>45316</v>
      </c>
      <c r="H62" s="39">
        <v>45316</v>
      </c>
      <c r="I62" s="39">
        <v>46047</v>
      </c>
      <c r="J62" s="83" t="s">
        <v>27</v>
      </c>
      <c r="K62" s="40" t="s">
        <v>1599</v>
      </c>
      <c r="L62" s="41" t="s">
        <v>35</v>
      </c>
      <c r="M62" s="35" t="s">
        <v>40</v>
      </c>
    </row>
    <row r="63" spans="1:13" ht="96" customHeight="1">
      <c r="A63" s="96" t="str">
        <f t="shared" si="30"/>
        <v>24EB0016CONTRACTOR'S ALL RISK POLICY</v>
      </c>
      <c r="B63" s="136">
        <v>47</v>
      </c>
      <c r="C63" s="42" t="s">
        <v>1098</v>
      </c>
      <c r="D63" s="36" t="s">
        <v>1600</v>
      </c>
      <c r="E63" s="37" t="s">
        <v>1601</v>
      </c>
      <c r="F63" s="38">
        <v>10508135.390000001</v>
      </c>
      <c r="G63" s="39">
        <v>45316</v>
      </c>
      <c r="H63" s="39">
        <v>45316</v>
      </c>
      <c r="I63" s="39">
        <v>45682</v>
      </c>
      <c r="J63" s="83" t="s">
        <v>30</v>
      </c>
      <c r="K63" s="40" t="s">
        <v>1602</v>
      </c>
      <c r="L63" s="41" t="s">
        <v>35</v>
      </c>
      <c r="M63" s="35" t="s">
        <v>31</v>
      </c>
    </row>
    <row r="64" spans="1:13" ht="96" customHeight="1">
      <c r="A64" s="96" t="str">
        <f t="shared" ref="A64" si="31">D64&amp;M64</f>
        <v>24EB0016PERFORMANCE BOND</v>
      </c>
      <c r="B64" s="136">
        <v>47</v>
      </c>
      <c r="C64" s="42" t="s">
        <v>1098</v>
      </c>
      <c r="D64" s="36" t="s">
        <v>1600</v>
      </c>
      <c r="E64" s="37" t="s">
        <v>1601</v>
      </c>
      <c r="F64" s="38">
        <v>3152440.62</v>
      </c>
      <c r="G64" s="39">
        <v>45316</v>
      </c>
      <c r="H64" s="39">
        <v>45316</v>
      </c>
      <c r="I64" s="39">
        <v>46047</v>
      </c>
      <c r="J64" s="83" t="s">
        <v>27</v>
      </c>
      <c r="K64" s="40" t="s">
        <v>1603</v>
      </c>
      <c r="L64" s="41" t="s">
        <v>35</v>
      </c>
      <c r="M64" s="35" t="s">
        <v>40</v>
      </c>
    </row>
    <row r="65" spans="1:13" ht="96" customHeight="1">
      <c r="A65" s="96" t="str">
        <f t="shared" ref="A65" si="32">D65&amp;M65</f>
        <v>24EB0024CONTRACTOR'S ALL RISK POLICY</v>
      </c>
      <c r="B65" s="136">
        <v>47</v>
      </c>
      <c r="C65" s="42" t="s">
        <v>44</v>
      </c>
      <c r="D65" s="36" t="s">
        <v>1604</v>
      </c>
      <c r="E65" s="37" t="s">
        <v>1605</v>
      </c>
      <c r="F65" s="38">
        <v>27927406.620000001</v>
      </c>
      <c r="G65" s="39">
        <v>45316</v>
      </c>
      <c r="H65" s="39">
        <v>45316</v>
      </c>
      <c r="I65" s="39">
        <v>45682</v>
      </c>
      <c r="J65" s="83" t="s">
        <v>30</v>
      </c>
      <c r="K65" s="40" t="s">
        <v>1606</v>
      </c>
      <c r="L65" s="41" t="s">
        <v>35</v>
      </c>
      <c r="M65" s="35" t="s">
        <v>31</v>
      </c>
    </row>
    <row r="66" spans="1:13" ht="96" customHeight="1">
      <c r="A66" s="96" t="str">
        <f t="shared" ref="A66" si="33">D66&amp;M66</f>
        <v>24EB0024PERFORMANCE BOND</v>
      </c>
      <c r="B66" s="136">
        <v>53</v>
      </c>
      <c r="C66" s="42" t="s">
        <v>44</v>
      </c>
      <c r="D66" s="36" t="s">
        <v>1604</v>
      </c>
      <c r="E66" s="37" t="s">
        <v>1605</v>
      </c>
      <c r="F66" s="38">
        <v>8378222</v>
      </c>
      <c r="G66" s="39">
        <v>45316</v>
      </c>
      <c r="H66" s="39">
        <v>45316</v>
      </c>
      <c r="I66" s="39">
        <v>46047</v>
      </c>
      <c r="J66" s="83" t="s">
        <v>27</v>
      </c>
      <c r="K66" s="40" t="s">
        <v>1607</v>
      </c>
      <c r="L66" s="41" t="s">
        <v>35</v>
      </c>
      <c r="M66" s="35" t="s">
        <v>40</v>
      </c>
    </row>
    <row r="67" spans="1:13" ht="96" customHeight="1">
      <c r="A67" s="96" t="str">
        <f t="shared" ref="A67" si="34">D67&amp;M67</f>
        <v>24EB0059CONTRACTOR'S ALL RISK POLICY</v>
      </c>
      <c r="B67" s="136">
        <v>53</v>
      </c>
      <c r="C67" s="42" t="s">
        <v>38</v>
      </c>
      <c r="D67" s="36" t="s">
        <v>1608</v>
      </c>
      <c r="E67" s="37" t="s">
        <v>1609</v>
      </c>
      <c r="F67" s="38">
        <v>4800373.1399999997</v>
      </c>
      <c r="G67" s="39">
        <v>45316</v>
      </c>
      <c r="H67" s="39">
        <v>45316</v>
      </c>
      <c r="I67" s="39">
        <v>45682</v>
      </c>
      <c r="J67" s="83" t="s">
        <v>30</v>
      </c>
      <c r="K67" s="40" t="s">
        <v>1610</v>
      </c>
      <c r="L67" s="41" t="s">
        <v>35</v>
      </c>
      <c r="M67" s="35" t="s">
        <v>31</v>
      </c>
    </row>
    <row r="68" spans="1:13" ht="96" customHeight="1">
      <c r="A68" s="96" t="str">
        <f t="shared" ref="A68" si="35">D68&amp;M68</f>
        <v>24EB0059PERFORMANCE BOND</v>
      </c>
      <c r="B68" s="136">
        <v>53</v>
      </c>
      <c r="C68" s="42" t="s">
        <v>38</v>
      </c>
      <c r="D68" s="36" t="s">
        <v>1608</v>
      </c>
      <c r="E68" s="37" t="s">
        <v>1609</v>
      </c>
      <c r="F68" s="38">
        <v>1440111.94</v>
      </c>
      <c r="G68" s="39">
        <v>45316</v>
      </c>
      <c r="H68" s="39">
        <v>45316</v>
      </c>
      <c r="I68" s="39">
        <v>46047</v>
      </c>
      <c r="J68" s="83" t="s">
        <v>27</v>
      </c>
      <c r="K68" s="40" t="s">
        <v>1611</v>
      </c>
      <c r="L68" s="41" t="s">
        <v>35</v>
      </c>
      <c r="M68" s="35" t="s">
        <v>40</v>
      </c>
    </row>
    <row r="69" spans="1:13" ht="96" customHeight="1">
      <c r="A69" s="96" t="str">
        <f t="shared" ref="A69" si="36">D69&amp;M69</f>
        <v>24EB0008CONTRACTOR'S ALL RISK POLICY</v>
      </c>
      <c r="B69" s="136">
        <v>53</v>
      </c>
      <c r="C69" s="42" t="s">
        <v>38</v>
      </c>
      <c r="D69" s="36" t="s">
        <v>1612</v>
      </c>
      <c r="E69" s="37" t="s">
        <v>1613</v>
      </c>
      <c r="F69" s="38">
        <v>6585394.5</v>
      </c>
      <c r="G69" s="39">
        <v>45316</v>
      </c>
      <c r="H69" s="39">
        <v>45316</v>
      </c>
      <c r="I69" s="39">
        <v>45682</v>
      </c>
      <c r="J69" s="83" t="s">
        <v>30</v>
      </c>
      <c r="K69" s="40" t="s">
        <v>1614</v>
      </c>
      <c r="L69" s="41" t="s">
        <v>35</v>
      </c>
      <c r="M69" s="35" t="s">
        <v>31</v>
      </c>
    </row>
    <row r="70" spans="1:13" ht="96" customHeight="1">
      <c r="A70" s="96" t="str">
        <f t="shared" ref="A70" si="37">D70&amp;M70</f>
        <v>24EB0008PERFORMANCE BOND</v>
      </c>
      <c r="B70" s="136">
        <v>53</v>
      </c>
      <c r="C70" s="42" t="s">
        <v>38</v>
      </c>
      <c r="D70" s="36" t="s">
        <v>1612</v>
      </c>
      <c r="E70" s="37" t="s">
        <v>1613</v>
      </c>
      <c r="F70" s="38">
        <v>1975618.35</v>
      </c>
      <c r="G70" s="39">
        <v>45316</v>
      </c>
      <c r="H70" s="39">
        <v>45316</v>
      </c>
      <c r="I70" s="39">
        <v>46047</v>
      </c>
      <c r="J70" s="83" t="s">
        <v>27</v>
      </c>
      <c r="K70" s="40" t="s">
        <v>1615</v>
      </c>
      <c r="L70" s="41" t="s">
        <v>35</v>
      </c>
      <c r="M70" s="35" t="s">
        <v>40</v>
      </c>
    </row>
    <row r="71" spans="1:13" ht="96" customHeight="1">
      <c r="A71" s="96" t="str">
        <f t="shared" ref="A71" si="38">D71&amp;M71</f>
        <v>24EB0007CONTRACTOR'S ALL RISK POLICY</v>
      </c>
      <c r="B71" s="136">
        <v>57</v>
      </c>
      <c r="C71" s="42" t="s">
        <v>38</v>
      </c>
      <c r="D71" s="36" t="s">
        <v>1616</v>
      </c>
      <c r="E71" s="37" t="s">
        <v>1617</v>
      </c>
      <c r="F71" s="38">
        <v>4173265.86</v>
      </c>
      <c r="G71" s="39">
        <v>45316</v>
      </c>
      <c r="H71" s="39">
        <v>45316</v>
      </c>
      <c r="I71" s="39">
        <v>45682</v>
      </c>
      <c r="J71" s="83" t="s">
        <v>30</v>
      </c>
      <c r="K71" s="40" t="s">
        <v>1618</v>
      </c>
      <c r="L71" s="41" t="s">
        <v>35</v>
      </c>
      <c r="M71" s="35" t="s">
        <v>31</v>
      </c>
    </row>
    <row r="72" spans="1:13" ht="96" customHeight="1">
      <c r="A72" s="96" t="str">
        <f t="shared" ref="A72" si="39">D72&amp;M72</f>
        <v>24EB0007PERFORMANCE BOND</v>
      </c>
      <c r="B72" s="136">
        <v>57</v>
      </c>
      <c r="C72" s="42" t="s">
        <v>38</v>
      </c>
      <c r="D72" s="36" t="s">
        <v>1616</v>
      </c>
      <c r="E72" s="37" t="s">
        <v>1617</v>
      </c>
      <c r="F72" s="38">
        <v>1251979.76</v>
      </c>
      <c r="G72" s="39">
        <v>45316</v>
      </c>
      <c r="H72" s="39">
        <v>45316</v>
      </c>
      <c r="I72" s="39">
        <v>46047</v>
      </c>
      <c r="J72" s="83" t="s">
        <v>27</v>
      </c>
      <c r="K72" s="40" t="s">
        <v>1619</v>
      </c>
      <c r="L72" s="41" t="s">
        <v>35</v>
      </c>
      <c r="M72" s="35" t="s">
        <v>40</v>
      </c>
    </row>
    <row r="73" spans="1:13" ht="96" customHeight="1">
      <c r="A73" s="96" t="str">
        <f t="shared" ref="A73" si="40">D73&amp;M73</f>
        <v>24EB0024ADVANCE PAYMENT BOND</v>
      </c>
      <c r="B73" s="136">
        <v>57</v>
      </c>
      <c r="C73" s="42" t="s">
        <v>44</v>
      </c>
      <c r="D73" s="36" t="s">
        <v>1604</v>
      </c>
      <c r="E73" s="37" t="s">
        <v>1605</v>
      </c>
      <c r="F73" s="38">
        <v>4189111</v>
      </c>
      <c r="G73" s="39">
        <v>45330</v>
      </c>
      <c r="H73" s="39">
        <v>45330</v>
      </c>
      <c r="I73" s="39">
        <v>45696</v>
      </c>
      <c r="J73" s="83" t="s">
        <v>30</v>
      </c>
      <c r="K73" s="40" t="s">
        <v>1620</v>
      </c>
      <c r="L73" s="41" t="s">
        <v>35</v>
      </c>
      <c r="M73" s="35" t="s">
        <v>34</v>
      </c>
    </row>
    <row r="74" spans="1:13" ht="109.5" customHeight="1">
      <c r="A74" s="96" t="str">
        <f t="shared" si="17"/>
        <v>24EB0004ADVANCE PAYMENT BOND</v>
      </c>
      <c r="B74" s="136">
        <v>61</v>
      </c>
      <c r="C74" s="42" t="s">
        <v>38</v>
      </c>
      <c r="D74" s="36" t="s">
        <v>1581</v>
      </c>
      <c r="E74" s="37" t="s">
        <v>1582</v>
      </c>
      <c r="F74" s="38">
        <v>2516744.0699999998</v>
      </c>
      <c r="G74" s="39">
        <v>45330</v>
      </c>
      <c r="H74" s="39">
        <v>45330</v>
      </c>
      <c r="I74" s="39">
        <v>45696</v>
      </c>
      <c r="J74" s="83" t="s">
        <v>30</v>
      </c>
      <c r="K74" s="40" t="s">
        <v>1621</v>
      </c>
      <c r="L74" s="41" t="s">
        <v>35</v>
      </c>
      <c r="M74" s="35" t="s">
        <v>34</v>
      </c>
    </row>
    <row r="75" spans="1:13" ht="109.5" customHeight="1">
      <c r="A75" s="96" t="str">
        <f t="shared" ref="A75" si="41">D75&amp;M75</f>
        <v>24EB0053ADVANCE PAYMENT BOND</v>
      </c>
      <c r="B75" s="136">
        <v>61</v>
      </c>
      <c r="C75" s="42" t="s">
        <v>38</v>
      </c>
      <c r="D75" s="36" t="s">
        <v>1575</v>
      </c>
      <c r="E75" s="150" t="s">
        <v>1574</v>
      </c>
      <c r="F75" s="38">
        <v>719491.02</v>
      </c>
      <c r="G75" s="39">
        <v>45330</v>
      </c>
      <c r="H75" s="39">
        <v>45330</v>
      </c>
      <c r="I75" s="39">
        <v>45696</v>
      </c>
      <c r="J75" s="83" t="s">
        <v>30</v>
      </c>
      <c r="K75" s="40" t="s">
        <v>1622</v>
      </c>
      <c r="L75" s="41" t="s">
        <v>35</v>
      </c>
      <c r="M75" s="35" t="s">
        <v>34</v>
      </c>
    </row>
    <row r="76" spans="1:13" ht="109.5" customHeight="1">
      <c r="A76" s="96" t="str">
        <f t="shared" ref="A76:A77" si="42">D76&amp;M76</f>
        <v>24EB0005ADVANCE PAYMENT BOND</v>
      </c>
      <c r="B76" s="136">
        <v>61</v>
      </c>
      <c r="C76" s="42" t="s">
        <v>38</v>
      </c>
      <c r="D76" s="36" t="s">
        <v>1561</v>
      </c>
      <c r="E76" s="37" t="s">
        <v>1562</v>
      </c>
      <c r="F76" s="38">
        <v>261345.05</v>
      </c>
      <c r="G76" s="39">
        <v>45330</v>
      </c>
      <c r="H76" s="39">
        <v>45330</v>
      </c>
      <c r="I76" s="39">
        <v>45696</v>
      </c>
      <c r="J76" s="83" t="s">
        <v>30</v>
      </c>
      <c r="K76" s="40" t="s">
        <v>1623</v>
      </c>
      <c r="L76" s="41" t="s">
        <v>35</v>
      </c>
      <c r="M76" s="35" t="s">
        <v>34</v>
      </c>
    </row>
    <row r="77" spans="1:13" ht="109.5" customHeight="1">
      <c r="A77" s="96" t="str">
        <f t="shared" si="42"/>
        <v>24EB0007ADVANCE PAYMENT BOND</v>
      </c>
      <c r="B77" s="136">
        <v>61</v>
      </c>
      <c r="C77" s="42" t="s">
        <v>38</v>
      </c>
      <c r="D77" s="36" t="s">
        <v>1616</v>
      </c>
      <c r="E77" s="37" t="s">
        <v>1617</v>
      </c>
      <c r="F77" s="38">
        <v>625989.88</v>
      </c>
      <c r="G77" s="39">
        <v>45330</v>
      </c>
      <c r="H77" s="39">
        <v>45330</v>
      </c>
      <c r="I77" s="39">
        <v>45696</v>
      </c>
      <c r="J77" s="83" t="s">
        <v>30</v>
      </c>
      <c r="K77" s="40" t="s">
        <v>1624</v>
      </c>
      <c r="L77" s="41" t="s">
        <v>35</v>
      </c>
      <c r="M77" s="35" t="s">
        <v>34</v>
      </c>
    </row>
    <row r="78" spans="1:13" ht="129" customHeight="1">
      <c r="A78" s="96" t="str">
        <f t="shared" ref="A78:A83" si="43">D78&amp;M78</f>
        <v>24EB0009ADVANCE PAYMENT BOND</v>
      </c>
      <c r="B78" s="136">
        <v>53</v>
      </c>
      <c r="C78" s="42" t="s">
        <v>38</v>
      </c>
      <c r="D78" s="36" t="s">
        <v>1571</v>
      </c>
      <c r="E78" s="37" t="s">
        <v>1570</v>
      </c>
      <c r="F78" s="38">
        <v>1069568.3999999999</v>
      </c>
      <c r="G78" s="39">
        <v>45330</v>
      </c>
      <c r="H78" s="39">
        <v>45330</v>
      </c>
      <c r="I78" s="39">
        <v>45696</v>
      </c>
      <c r="J78" s="83" t="s">
        <v>30</v>
      </c>
      <c r="K78" s="40" t="s">
        <v>1625</v>
      </c>
      <c r="L78" s="41" t="s">
        <v>35</v>
      </c>
      <c r="M78" s="35" t="s">
        <v>34</v>
      </c>
    </row>
    <row r="79" spans="1:13" ht="82.5" customHeight="1">
      <c r="A79" s="96" t="str">
        <f t="shared" si="43"/>
        <v>24EB0008ADVANCE PAYMENT BOND</v>
      </c>
      <c r="B79" s="136">
        <v>122</v>
      </c>
      <c r="C79" s="42" t="s">
        <v>38</v>
      </c>
      <c r="D79" s="36" t="s">
        <v>1612</v>
      </c>
      <c r="E79" s="37" t="s">
        <v>1613</v>
      </c>
      <c r="F79" s="38">
        <v>987809.18</v>
      </c>
      <c r="G79" s="39">
        <v>45330</v>
      </c>
      <c r="H79" s="39">
        <v>45330</v>
      </c>
      <c r="I79" s="39">
        <v>45696</v>
      </c>
      <c r="J79" s="83" t="s">
        <v>30</v>
      </c>
      <c r="K79" s="40" t="s">
        <v>1626</v>
      </c>
      <c r="L79" s="41" t="s">
        <v>35</v>
      </c>
      <c r="M79" s="35" t="s">
        <v>34</v>
      </c>
    </row>
    <row r="80" spans="1:13" ht="96" customHeight="1">
      <c r="A80" s="96" t="str">
        <f t="shared" si="43"/>
        <v>24EB0059ADVANCE PAYMENT BOND</v>
      </c>
      <c r="B80" s="136">
        <v>51</v>
      </c>
      <c r="C80" s="42" t="s">
        <v>38</v>
      </c>
      <c r="D80" s="36" t="s">
        <v>1608</v>
      </c>
      <c r="E80" s="37" t="s">
        <v>1609</v>
      </c>
      <c r="F80" s="38">
        <v>720055.97</v>
      </c>
      <c r="G80" s="39">
        <v>45330</v>
      </c>
      <c r="H80" s="39">
        <v>45330</v>
      </c>
      <c r="I80" s="39">
        <v>45696</v>
      </c>
      <c r="J80" s="83" t="s">
        <v>30</v>
      </c>
      <c r="K80" s="40" t="s">
        <v>1627</v>
      </c>
      <c r="L80" s="41" t="s">
        <v>35</v>
      </c>
      <c r="M80" s="35" t="s">
        <v>34</v>
      </c>
    </row>
    <row r="81" spans="1:13" ht="96" customHeight="1">
      <c r="A81" s="96" t="str">
        <f t="shared" si="43"/>
        <v>24EB0060ADVANCE PAYMENT BOND</v>
      </c>
      <c r="B81" s="136">
        <v>53</v>
      </c>
      <c r="C81" s="42" t="s">
        <v>38</v>
      </c>
      <c r="D81" s="36" t="s">
        <v>1588</v>
      </c>
      <c r="E81" s="37" t="s">
        <v>1589</v>
      </c>
      <c r="F81" s="38">
        <v>720910.8</v>
      </c>
      <c r="G81" s="39">
        <v>45330</v>
      </c>
      <c r="H81" s="39">
        <v>45330</v>
      </c>
      <c r="I81" s="39">
        <v>45696</v>
      </c>
      <c r="J81" s="83" t="s">
        <v>30</v>
      </c>
      <c r="K81" s="40" t="s">
        <v>1628</v>
      </c>
      <c r="L81" s="41" t="s">
        <v>35</v>
      </c>
      <c r="M81" s="35" t="s">
        <v>34</v>
      </c>
    </row>
    <row r="82" spans="1:13" ht="96" customHeight="1">
      <c r="A82" s="96" t="str">
        <f t="shared" si="43"/>
        <v>24EB0006ADVANCE PAYMENT BOND</v>
      </c>
      <c r="B82" s="136">
        <v>101</v>
      </c>
      <c r="C82" s="42" t="s">
        <v>38</v>
      </c>
      <c r="D82" s="36" t="s">
        <v>1584</v>
      </c>
      <c r="E82" s="37" t="s">
        <v>1585</v>
      </c>
      <c r="F82" s="38">
        <v>1780284.22</v>
      </c>
      <c r="G82" s="39">
        <v>45330</v>
      </c>
      <c r="H82" s="39">
        <v>45330</v>
      </c>
      <c r="I82" s="39">
        <v>45696</v>
      </c>
      <c r="J82" s="83" t="s">
        <v>30</v>
      </c>
      <c r="K82" s="40" t="s">
        <v>1629</v>
      </c>
      <c r="L82" s="41" t="s">
        <v>35</v>
      </c>
      <c r="M82" s="35" t="s">
        <v>34</v>
      </c>
    </row>
    <row r="83" spans="1:13" ht="82.5" customHeight="1">
      <c r="A83" s="96" t="str">
        <f t="shared" si="43"/>
        <v>24EB0020ADVANCE PAYMENT BOND</v>
      </c>
      <c r="B83" s="136">
        <v>117</v>
      </c>
      <c r="C83" s="42" t="s">
        <v>38</v>
      </c>
      <c r="D83" s="36" t="s">
        <v>1596</v>
      </c>
      <c r="E83" s="37" t="s">
        <v>1598</v>
      </c>
      <c r="F83" s="38">
        <v>638026.28</v>
      </c>
      <c r="G83" s="39">
        <v>45330</v>
      </c>
      <c r="H83" s="39">
        <v>45330</v>
      </c>
      <c r="I83" s="39">
        <v>45696</v>
      </c>
      <c r="J83" s="83" t="s">
        <v>30</v>
      </c>
      <c r="K83" s="40" t="s">
        <v>1630</v>
      </c>
      <c r="L83" s="41" t="s">
        <v>35</v>
      </c>
      <c r="M83" s="35" t="s">
        <v>34</v>
      </c>
    </row>
    <row r="84" spans="1:13" ht="82.5" customHeight="1">
      <c r="A84" s="96" t="str">
        <f t="shared" ref="A84:A86" si="44">D84&amp;M84</f>
        <v>24EB0020ADVANCE PAYMENT BOND</v>
      </c>
      <c r="B84" s="136">
        <v>117</v>
      </c>
      <c r="C84" s="42" t="s">
        <v>38</v>
      </c>
      <c r="D84" s="36" t="s">
        <v>1596</v>
      </c>
      <c r="E84" s="37" t="s">
        <v>1598</v>
      </c>
      <c r="F84" s="38">
        <v>638026.28</v>
      </c>
      <c r="G84" s="39">
        <v>45330</v>
      </c>
      <c r="H84" s="39">
        <v>45330</v>
      </c>
      <c r="I84" s="39">
        <v>45696</v>
      </c>
      <c r="J84" s="83" t="s">
        <v>30</v>
      </c>
      <c r="K84" s="40" t="s">
        <v>1629</v>
      </c>
      <c r="L84" s="41" t="s">
        <v>35</v>
      </c>
      <c r="M84" s="35" t="s">
        <v>34</v>
      </c>
    </row>
    <row r="85" spans="1:13" ht="126" customHeight="1">
      <c r="A85" s="96" t="str">
        <f t="shared" si="44"/>
        <v>24EB0023ADVANCE PAYMENT BOND</v>
      </c>
      <c r="B85" s="136">
        <v>142</v>
      </c>
      <c r="C85" s="42" t="s">
        <v>38</v>
      </c>
      <c r="D85" s="36" t="s">
        <v>1592</v>
      </c>
      <c r="E85" s="37" t="s">
        <v>1593</v>
      </c>
      <c r="F85" s="38">
        <v>181285.27</v>
      </c>
      <c r="G85" s="39">
        <v>45330</v>
      </c>
      <c r="H85" s="39">
        <v>45330</v>
      </c>
      <c r="I85" s="39">
        <v>45696</v>
      </c>
      <c r="J85" s="83" t="s">
        <v>30</v>
      </c>
      <c r="K85" s="40" t="s">
        <v>1631</v>
      </c>
      <c r="L85" s="41" t="s">
        <v>35</v>
      </c>
      <c r="M85" s="35" t="s">
        <v>34</v>
      </c>
    </row>
    <row r="86" spans="1:13" s="43" customFormat="1" ht="102" customHeight="1">
      <c r="A86" s="96" t="str">
        <f t="shared" si="44"/>
        <v>24EB0016ADVANCE PAYMENT BOND</v>
      </c>
      <c r="B86" s="136">
        <v>19</v>
      </c>
      <c r="C86" s="42" t="s">
        <v>1098</v>
      </c>
      <c r="D86" s="36" t="s">
        <v>1600</v>
      </c>
      <c r="E86" s="37" t="s">
        <v>1601</v>
      </c>
      <c r="F86" s="38">
        <v>1576220.5</v>
      </c>
      <c r="G86" s="39">
        <v>45330</v>
      </c>
      <c r="H86" s="39">
        <v>45330</v>
      </c>
      <c r="I86" s="39">
        <v>45696</v>
      </c>
      <c r="J86" s="83" t="s">
        <v>30</v>
      </c>
      <c r="K86" s="40" t="s">
        <v>1632</v>
      </c>
      <c r="L86" s="41" t="s">
        <v>35</v>
      </c>
      <c r="M86" s="35" t="s">
        <v>34</v>
      </c>
    </row>
    <row r="87" spans="1:13" s="116" customFormat="1" ht="96" customHeight="1">
      <c r="A87" s="105" t="str">
        <f t="shared" ref="A87:A90" si="45">D87&amp;M87</f>
        <v>24EB0064ADVANCE PAYMENT BOND</v>
      </c>
      <c r="B87" s="106">
        <v>75</v>
      </c>
      <c r="C87" s="119" t="s">
        <v>1633</v>
      </c>
      <c r="D87" s="119" t="s">
        <v>1634</v>
      </c>
      <c r="E87" s="109" t="s">
        <v>1635</v>
      </c>
      <c r="F87" s="110">
        <v>5704017.5499999998</v>
      </c>
      <c r="G87" s="111">
        <v>45336</v>
      </c>
      <c r="H87" s="111">
        <v>45336</v>
      </c>
      <c r="I87" s="111">
        <v>45702</v>
      </c>
      <c r="J87" s="113" t="s">
        <v>30</v>
      </c>
      <c r="K87" s="40" t="s">
        <v>1636</v>
      </c>
      <c r="L87" s="115" t="s">
        <v>32</v>
      </c>
      <c r="M87" s="107" t="s">
        <v>34</v>
      </c>
    </row>
    <row r="88" spans="1:13" s="116" customFormat="1" ht="96" customHeight="1">
      <c r="A88" s="105" t="str">
        <f t="shared" ref="A88:A89" si="46">D88&amp;M88</f>
        <v>22EB0095RETENTION BOND</v>
      </c>
      <c r="B88" s="106">
        <v>75</v>
      </c>
      <c r="C88" s="119" t="s">
        <v>1289</v>
      </c>
      <c r="D88" s="119" t="s">
        <v>251</v>
      </c>
      <c r="E88" s="109" t="s">
        <v>1290</v>
      </c>
      <c r="F88" s="110">
        <v>9899635.2100000009</v>
      </c>
      <c r="G88" s="111">
        <v>45258</v>
      </c>
      <c r="H88" s="111">
        <v>45258</v>
      </c>
      <c r="I88" s="111">
        <v>45624</v>
      </c>
      <c r="J88" s="113" t="s">
        <v>30</v>
      </c>
      <c r="K88" s="114" t="s">
        <v>1291</v>
      </c>
      <c r="L88" s="115" t="s">
        <v>35</v>
      </c>
      <c r="M88" s="107" t="s">
        <v>33</v>
      </c>
    </row>
    <row r="89" spans="1:13" s="116" customFormat="1" ht="96" customHeight="1">
      <c r="A89" s="105" t="str">
        <f t="shared" si="46"/>
        <v>22EB0013RETENTION BOND</v>
      </c>
      <c r="B89" s="106">
        <v>75</v>
      </c>
      <c r="C89" s="119" t="s">
        <v>45</v>
      </c>
      <c r="D89" s="108" t="s">
        <v>1292</v>
      </c>
      <c r="E89" s="109" t="s">
        <v>1293</v>
      </c>
      <c r="F89" s="110">
        <v>3253853.98</v>
      </c>
      <c r="G89" s="111">
        <v>45258</v>
      </c>
      <c r="H89" s="111">
        <v>45258</v>
      </c>
      <c r="I89" s="111">
        <v>45624</v>
      </c>
      <c r="J89" s="113" t="s">
        <v>30</v>
      </c>
      <c r="K89" s="114" t="s">
        <v>1294</v>
      </c>
      <c r="L89" s="115" t="s">
        <v>35</v>
      </c>
      <c r="M89" s="107" t="s">
        <v>33</v>
      </c>
    </row>
    <row r="90" spans="1:13" s="116" customFormat="1" ht="109.5" customHeight="1">
      <c r="A90" s="105" t="str">
        <f t="shared" si="45"/>
        <v>23EB0034RETENTION BOND</v>
      </c>
      <c r="B90" s="106">
        <v>78</v>
      </c>
      <c r="C90" s="119" t="s">
        <v>67</v>
      </c>
      <c r="D90" s="108" t="s">
        <v>1023</v>
      </c>
      <c r="E90" s="109" t="s">
        <v>1024</v>
      </c>
      <c r="F90" s="110">
        <v>4507979.25</v>
      </c>
      <c r="G90" s="111">
        <v>45261</v>
      </c>
      <c r="H90" s="111">
        <v>45261</v>
      </c>
      <c r="I90" s="111">
        <v>45627</v>
      </c>
      <c r="J90" s="113" t="s">
        <v>30</v>
      </c>
      <c r="K90" s="114" t="s">
        <v>1295</v>
      </c>
      <c r="L90" s="115" t="s">
        <v>35</v>
      </c>
      <c r="M90" s="107" t="s">
        <v>33</v>
      </c>
    </row>
    <row r="91" spans="1:13" s="116" customFormat="1" ht="109.5" customHeight="1">
      <c r="A91" s="105" t="str">
        <f t="shared" ref="A91" si="47">D91&amp;M91</f>
        <v>22EB0012RETENTION BOND</v>
      </c>
      <c r="B91" s="106">
        <v>78</v>
      </c>
      <c r="C91" s="119" t="s">
        <v>67</v>
      </c>
      <c r="D91" s="108" t="s">
        <v>194</v>
      </c>
      <c r="E91" s="109" t="s">
        <v>1286</v>
      </c>
      <c r="F91" s="110">
        <v>4307434.5</v>
      </c>
      <c r="G91" s="111">
        <v>45258</v>
      </c>
      <c r="H91" s="111">
        <v>45258</v>
      </c>
      <c r="I91" s="111">
        <v>45624</v>
      </c>
      <c r="J91" s="113" t="s">
        <v>30</v>
      </c>
      <c r="K91" s="114" t="s">
        <v>1296</v>
      </c>
      <c r="L91" s="115" t="s">
        <v>35</v>
      </c>
      <c r="M91" s="107" t="s">
        <v>33</v>
      </c>
    </row>
    <row r="92" spans="1:13" s="116" customFormat="1" ht="109.5" customHeight="1">
      <c r="A92" s="105" t="str">
        <f t="shared" ref="A92:A93" si="48">D92&amp;M92</f>
        <v>22EB0074RETENTION BOND</v>
      </c>
      <c r="B92" s="106">
        <v>78</v>
      </c>
      <c r="C92" s="119" t="s">
        <v>1277</v>
      </c>
      <c r="D92" s="108" t="s">
        <v>1297</v>
      </c>
      <c r="E92" s="109" t="s">
        <v>1279</v>
      </c>
      <c r="F92" s="110">
        <v>3094732.68</v>
      </c>
      <c r="G92" s="111">
        <v>45258</v>
      </c>
      <c r="H92" s="111">
        <v>45258</v>
      </c>
      <c r="I92" s="111">
        <v>45624</v>
      </c>
      <c r="J92" s="113" t="s">
        <v>30</v>
      </c>
      <c r="K92" s="114" t="s">
        <v>1298</v>
      </c>
      <c r="L92" s="115" t="s">
        <v>35</v>
      </c>
      <c r="M92" s="107" t="s">
        <v>33</v>
      </c>
    </row>
    <row r="93" spans="1:13" s="116" customFormat="1" ht="96" customHeight="1">
      <c r="A93" s="105" t="str">
        <f t="shared" si="48"/>
        <v>22EB0074WARRANTY BOND</v>
      </c>
      <c r="B93" s="106">
        <v>49</v>
      </c>
      <c r="C93" s="119" t="s">
        <v>1277</v>
      </c>
      <c r="D93" s="108" t="s">
        <v>1297</v>
      </c>
      <c r="E93" s="109" t="s">
        <v>1279</v>
      </c>
      <c r="F93" s="110">
        <v>9284198.0199999996</v>
      </c>
      <c r="G93" s="111">
        <v>45231</v>
      </c>
      <c r="H93" s="111"/>
      <c r="I93" s="111">
        <v>45962</v>
      </c>
      <c r="J93" s="113" t="s">
        <v>27</v>
      </c>
      <c r="K93" s="114" t="s">
        <v>1299</v>
      </c>
      <c r="L93" s="115" t="s">
        <v>35</v>
      </c>
      <c r="M93" s="107" t="s">
        <v>37</v>
      </c>
    </row>
    <row r="94" spans="1:13" s="116" customFormat="1" ht="96" customHeight="1">
      <c r="A94" s="105" t="str">
        <f t="shared" ref="A94" si="49">D94&amp;M94</f>
        <v>20EB0104RETENTION BOND</v>
      </c>
      <c r="B94" s="106">
        <v>49</v>
      </c>
      <c r="C94" s="119" t="s">
        <v>371</v>
      </c>
      <c r="D94" s="108" t="s">
        <v>1302</v>
      </c>
      <c r="E94" s="109" t="s">
        <v>1300</v>
      </c>
      <c r="F94" s="110">
        <v>4921792.16</v>
      </c>
      <c r="G94" s="111">
        <v>45259</v>
      </c>
      <c r="H94" s="111">
        <v>45259</v>
      </c>
      <c r="I94" s="111">
        <v>45625</v>
      </c>
      <c r="J94" s="113" t="s">
        <v>30</v>
      </c>
      <c r="K94" s="114" t="s">
        <v>1301</v>
      </c>
      <c r="L94" s="115" t="s">
        <v>39</v>
      </c>
      <c r="M94" s="107" t="s">
        <v>33</v>
      </c>
    </row>
    <row r="95" spans="1:13" s="116" customFormat="1" ht="109.5" customHeight="1">
      <c r="A95" s="105" t="str">
        <f t="shared" ref="A95:A96" si="50">D95&amp;M95</f>
        <v>22EB0012WARRANTY BOND</v>
      </c>
      <c r="B95" s="106">
        <v>64</v>
      </c>
      <c r="C95" s="119" t="s">
        <v>67</v>
      </c>
      <c r="D95" s="108" t="s">
        <v>194</v>
      </c>
      <c r="E95" s="109" t="s">
        <v>1188</v>
      </c>
      <c r="F95" s="110">
        <v>12922302.5</v>
      </c>
      <c r="G95" s="111">
        <v>45138</v>
      </c>
      <c r="H95" s="111">
        <v>45138</v>
      </c>
      <c r="I95" s="111">
        <v>45869</v>
      </c>
      <c r="J95" s="113" t="s">
        <v>27</v>
      </c>
      <c r="K95" s="114" t="s">
        <v>1303</v>
      </c>
      <c r="L95" s="115" t="s">
        <v>35</v>
      </c>
      <c r="M95" s="107" t="s">
        <v>37</v>
      </c>
    </row>
    <row r="96" spans="1:13" s="116" customFormat="1" ht="109.5" customHeight="1">
      <c r="A96" s="105" t="str">
        <f t="shared" si="50"/>
        <v>23EB0034WARRANTY BOND</v>
      </c>
      <c r="B96" s="106">
        <v>78</v>
      </c>
      <c r="C96" s="119" t="s">
        <v>67</v>
      </c>
      <c r="D96" s="108" t="s">
        <v>1023</v>
      </c>
      <c r="E96" s="109" t="s">
        <v>1024</v>
      </c>
      <c r="F96" s="110">
        <v>13523937.75</v>
      </c>
      <c r="G96" s="111">
        <v>45246</v>
      </c>
      <c r="H96" s="111">
        <v>45246</v>
      </c>
      <c r="I96" s="111">
        <v>45977</v>
      </c>
      <c r="J96" s="113" t="s">
        <v>30</v>
      </c>
      <c r="K96" s="114" t="s">
        <v>1304</v>
      </c>
      <c r="L96" s="115" t="s">
        <v>35</v>
      </c>
      <c r="M96" s="107" t="s">
        <v>37</v>
      </c>
    </row>
    <row r="97" spans="1:13" s="116" customFormat="1" ht="109.5" customHeight="1">
      <c r="A97" s="105" t="str">
        <f t="shared" ref="A97" si="51">D97&amp;M97</f>
        <v>23EB0008WARRANTY BOND</v>
      </c>
      <c r="B97" s="106">
        <v>78</v>
      </c>
      <c r="C97" s="119" t="s">
        <v>995</v>
      </c>
      <c r="D97" s="108" t="s">
        <v>1003</v>
      </c>
      <c r="E97" s="109" t="s">
        <v>1004</v>
      </c>
      <c r="F97" s="110">
        <v>2226436.33</v>
      </c>
      <c r="G97" s="111">
        <v>45033</v>
      </c>
      <c r="H97" s="111">
        <v>45033</v>
      </c>
      <c r="I97" s="111">
        <v>45764</v>
      </c>
      <c r="J97" s="113" t="s">
        <v>27</v>
      </c>
      <c r="K97" s="114" t="s">
        <v>1305</v>
      </c>
      <c r="L97" s="115" t="s">
        <v>39</v>
      </c>
      <c r="M97" s="107" t="s">
        <v>37</v>
      </c>
    </row>
    <row r="98" spans="1:13" s="116" customFormat="1" ht="109.5" customHeight="1">
      <c r="A98" s="105" t="str">
        <f t="shared" ref="A98" si="52">D98&amp;M98</f>
        <v>23EB0007WARRANTY BOND</v>
      </c>
      <c r="B98" s="106">
        <v>78</v>
      </c>
      <c r="C98" s="119" t="s">
        <v>995</v>
      </c>
      <c r="D98" s="108" t="s">
        <v>999</v>
      </c>
      <c r="E98" s="109" t="s">
        <v>996</v>
      </c>
      <c r="F98" s="110">
        <v>2977584.18</v>
      </c>
      <c r="G98" s="111">
        <v>45044</v>
      </c>
      <c r="H98" s="111">
        <v>45044</v>
      </c>
      <c r="I98" s="111">
        <v>45775</v>
      </c>
      <c r="J98" s="113" t="s">
        <v>27</v>
      </c>
      <c r="K98" s="114" t="s">
        <v>1306</v>
      </c>
      <c r="L98" s="115" t="s">
        <v>39</v>
      </c>
      <c r="M98" s="107" t="s">
        <v>37</v>
      </c>
    </row>
    <row r="99" spans="1:13" s="116" customFormat="1" ht="109.5" customHeight="1">
      <c r="A99" s="105" t="str">
        <f t="shared" ref="A99" si="53">D99&amp;M99</f>
        <v>23EB0079-R2RETENTION BOND</v>
      </c>
      <c r="B99" s="106">
        <v>78</v>
      </c>
      <c r="C99" s="119" t="s">
        <v>1287</v>
      </c>
      <c r="D99" s="108" t="s">
        <v>1307</v>
      </c>
      <c r="E99" s="109" t="s">
        <v>1308</v>
      </c>
      <c r="F99" s="110">
        <v>2869555.81</v>
      </c>
      <c r="G99" s="111">
        <v>45282</v>
      </c>
      <c r="H99" s="111">
        <v>45282</v>
      </c>
      <c r="I99" s="111">
        <v>45648</v>
      </c>
      <c r="J99" s="113" t="s">
        <v>30</v>
      </c>
      <c r="K99" s="114" t="s">
        <v>1309</v>
      </c>
      <c r="L99" s="115" t="s">
        <v>69</v>
      </c>
      <c r="M99" s="107" t="s">
        <v>33</v>
      </c>
    </row>
    <row r="100" spans="1:13" s="116" customFormat="1" ht="109.5" customHeight="1">
      <c r="A100" s="105" t="str">
        <f t="shared" ref="A100" si="54">D100&amp;M100</f>
        <v>23EB0023RETENTION BOND</v>
      </c>
      <c r="B100" s="106">
        <v>78</v>
      </c>
      <c r="C100" s="119" t="s">
        <v>1311</v>
      </c>
      <c r="D100" s="108" t="s">
        <v>1312</v>
      </c>
      <c r="E100" s="109" t="s">
        <v>1313</v>
      </c>
      <c r="F100" s="110">
        <v>4507399.37</v>
      </c>
      <c r="G100" s="111">
        <v>45278</v>
      </c>
      <c r="H100" s="111">
        <v>45278</v>
      </c>
      <c r="I100" s="111">
        <v>45644</v>
      </c>
      <c r="J100" s="113" t="s">
        <v>30</v>
      </c>
      <c r="K100" s="114" t="s">
        <v>1314</v>
      </c>
      <c r="L100" s="115" t="s">
        <v>69</v>
      </c>
      <c r="M100" s="107" t="s">
        <v>33</v>
      </c>
    </row>
    <row r="101" spans="1:13" s="116" customFormat="1" ht="109.5" customHeight="1">
      <c r="A101" s="105" t="str">
        <f t="shared" ref="A101" si="55">D101&amp;M101</f>
        <v>22EB0011RETENTION BOND</v>
      </c>
      <c r="B101" s="106">
        <v>78</v>
      </c>
      <c r="C101" s="119" t="s">
        <v>766</v>
      </c>
      <c r="D101" s="108" t="s">
        <v>1315</v>
      </c>
      <c r="E101" s="109" t="s">
        <v>1316</v>
      </c>
      <c r="F101" s="110">
        <v>6532517.0899999999</v>
      </c>
      <c r="G101" s="111">
        <v>45278</v>
      </c>
      <c r="H101" s="111">
        <v>45278</v>
      </c>
      <c r="I101" s="111">
        <v>45644</v>
      </c>
      <c r="J101" s="113" t="s">
        <v>30</v>
      </c>
      <c r="K101" s="114" t="s">
        <v>1317</v>
      </c>
      <c r="L101" s="115" t="s">
        <v>35</v>
      </c>
      <c r="M101" s="107" t="s">
        <v>33</v>
      </c>
    </row>
    <row r="102" spans="1:13" s="116" customFormat="1" ht="109.5" customHeight="1">
      <c r="A102" s="105" t="str">
        <f t="shared" ref="A102" si="56">D102&amp;M102</f>
        <v>22EB0011WARRANTY BOND</v>
      </c>
      <c r="B102" s="106">
        <v>78</v>
      </c>
      <c r="C102" s="119" t="s">
        <v>766</v>
      </c>
      <c r="D102" s="108" t="s">
        <v>1315</v>
      </c>
      <c r="E102" s="109" t="s">
        <v>1316</v>
      </c>
      <c r="F102" s="110">
        <v>19597551.239999998</v>
      </c>
      <c r="G102" s="111">
        <v>45245</v>
      </c>
      <c r="H102" s="111">
        <v>45245</v>
      </c>
      <c r="I102" s="111">
        <v>45976</v>
      </c>
      <c r="J102" s="113" t="s">
        <v>27</v>
      </c>
      <c r="K102" s="114" t="s">
        <v>1318</v>
      </c>
      <c r="L102" s="115" t="s">
        <v>35</v>
      </c>
      <c r="M102" s="107" t="s">
        <v>37</v>
      </c>
    </row>
    <row r="103" spans="1:13" s="116" customFormat="1" ht="109.5" customHeight="1">
      <c r="A103" s="105" t="str">
        <f t="shared" ref="A103:A111" si="57">D103&amp;M103</f>
        <v>23EB0088WARRANTY BOND</v>
      </c>
      <c r="B103" s="106">
        <v>91</v>
      </c>
      <c r="C103" s="119" t="s">
        <v>38</v>
      </c>
      <c r="D103" s="108" t="s">
        <v>1094</v>
      </c>
      <c r="E103" s="109" t="s">
        <v>1319</v>
      </c>
      <c r="F103" s="110">
        <v>3581632.47</v>
      </c>
      <c r="G103" s="111">
        <v>45162</v>
      </c>
      <c r="H103" s="111">
        <v>45162</v>
      </c>
      <c r="I103" s="111">
        <v>45893</v>
      </c>
      <c r="J103" s="113" t="s">
        <v>27</v>
      </c>
      <c r="K103" s="114" t="s">
        <v>1320</v>
      </c>
      <c r="L103" s="115" t="s">
        <v>35</v>
      </c>
      <c r="M103" s="107" t="s">
        <v>37</v>
      </c>
    </row>
    <row r="104" spans="1:13" s="116" customFormat="1" ht="109.5" customHeight="1">
      <c r="A104" s="105" t="str">
        <f t="shared" ref="A104" si="58">D104&amp;M104</f>
        <v>23EB0088RETENTION BOND</v>
      </c>
      <c r="B104" s="106">
        <v>91</v>
      </c>
      <c r="C104" s="119" t="s">
        <v>38</v>
      </c>
      <c r="D104" s="108" t="s">
        <v>1094</v>
      </c>
      <c r="E104" s="109" t="s">
        <v>1319</v>
      </c>
      <c r="F104" s="110">
        <v>1193877.49</v>
      </c>
      <c r="G104" s="111">
        <v>45280</v>
      </c>
      <c r="H104" s="111">
        <v>45280</v>
      </c>
      <c r="I104" s="111">
        <v>45646</v>
      </c>
      <c r="J104" s="113" t="s">
        <v>30</v>
      </c>
      <c r="K104" s="114" t="s">
        <v>1321</v>
      </c>
      <c r="L104" s="115" t="s">
        <v>35</v>
      </c>
      <c r="M104" s="107" t="s">
        <v>33</v>
      </c>
    </row>
    <row r="105" spans="1:13" s="116" customFormat="1" ht="109.5" customHeight="1">
      <c r="A105" s="105" t="str">
        <f t="shared" ref="A105" si="59">D105&amp;M105</f>
        <v>23EB0100WARRANTY BOND</v>
      </c>
      <c r="B105" s="106">
        <v>91</v>
      </c>
      <c r="C105" s="119" t="s">
        <v>44</v>
      </c>
      <c r="D105" s="108" t="s">
        <v>1192</v>
      </c>
      <c r="E105" s="109" t="s">
        <v>1322</v>
      </c>
      <c r="F105" s="110">
        <v>556212.14</v>
      </c>
      <c r="G105" s="111">
        <v>45253</v>
      </c>
      <c r="H105" s="111">
        <v>45253</v>
      </c>
      <c r="I105" s="111">
        <v>45984</v>
      </c>
      <c r="J105" s="113" t="s">
        <v>30</v>
      </c>
      <c r="K105" s="114" t="s">
        <v>1323</v>
      </c>
      <c r="L105" s="115" t="s">
        <v>35</v>
      </c>
      <c r="M105" s="107" t="s">
        <v>37</v>
      </c>
    </row>
    <row r="106" spans="1:13" s="116" customFormat="1" ht="109.5" customHeight="1">
      <c r="A106" s="105" t="str">
        <f t="shared" ref="A106" si="60">D106&amp;M106</f>
        <v>23EB0101WARRANTY BOND</v>
      </c>
      <c r="B106" s="106">
        <v>91</v>
      </c>
      <c r="C106" s="119" t="s">
        <v>44</v>
      </c>
      <c r="D106" s="108" t="s">
        <v>1197</v>
      </c>
      <c r="E106" s="109" t="s">
        <v>1324</v>
      </c>
      <c r="F106" s="110">
        <v>641595.61</v>
      </c>
      <c r="G106" s="111">
        <v>45259</v>
      </c>
      <c r="H106" s="111">
        <v>45259</v>
      </c>
      <c r="I106" s="111">
        <v>45990</v>
      </c>
      <c r="J106" s="113" t="s">
        <v>30</v>
      </c>
      <c r="K106" s="114" t="s">
        <v>1325</v>
      </c>
      <c r="L106" s="115" t="s">
        <v>35</v>
      </c>
      <c r="M106" s="107" t="s">
        <v>37</v>
      </c>
    </row>
    <row r="107" spans="1:13" s="116" customFormat="1" ht="113.25" customHeight="1">
      <c r="A107" s="105" t="str">
        <f t="shared" si="57"/>
        <v>23EB0039-R1WARRANTY BOND</v>
      </c>
      <c r="B107" s="106">
        <v>96</v>
      </c>
      <c r="C107" s="119" t="s">
        <v>1326</v>
      </c>
      <c r="D107" s="108" t="s">
        <v>888</v>
      </c>
      <c r="E107" s="109" t="s">
        <v>1327</v>
      </c>
      <c r="F107" s="110">
        <v>14763863.17</v>
      </c>
      <c r="G107" s="111">
        <v>45226</v>
      </c>
      <c r="H107" s="111">
        <v>45226</v>
      </c>
      <c r="I107" s="111">
        <v>45957</v>
      </c>
      <c r="J107" s="113" t="s">
        <v>30</v>
      </c>
      <c r="K107" s="114" t="s">
        <v>1328</v>
      </c>
      <c r="L107" s="115" t="s">
        <v>69</v>
      </c>
      <c r="M107" s="107" t="s">
        <v>37</v>
      </c>
    </row>
    <row r="108" spans="1:13" s="116" customFormat="1" ht="113.25" customHeight="1">
      <c r="A108" s="105" t="str">
        <f t="shared" ref="A108" si="61">D108&amp;M108</f>
        <v>23EB0032WARRANTY BOND</v>
      </c>
      <c r="B108" s="106">
        <v>96</v>
      </c>
      <c r="C108" s="119" t="s">
        <v>36</v>
      </c>
      <c r="D108" s="108" t="s">
        <v>1329</v>
      </c>
      <c r="E108" s="109" t="s">
        <v>1330</v>
      </c>
      <c r="F108" s="110">
        <v>13130407.43</v>
      </c>
      <c r="G108" s="111">
        <v>45250</v>
      </c>
      <c r="H108" s="111">
        <v>45250</v>
      </c>
      <c r="I108" s="111">
        <v>45616</v>
      </c>
      <c r="J108" s="113" t="s">
        <v>30</v>
      </c>
      <c r="K108" s="114" t="s">
        <v>1331</v>
      </c>
      <c r="L108" s="115" t="s">
        <v>32</v>
      </c>
      <c r="M108" s="107" t="s">
        <v>37</v>
      </c>
    </row>
    <row r="109" spans="1:13" s="116" customFormat="1" ht="113.25" customHeight="1">
      <c r="A109" s="105" t="str">
        <f t="shared" ref="A109" si="62">D109&amp;M109</f>
        <v>23EB0008RETENTION BOND</v>
      </c>
      <c r="B109" s="106">
        <v>78</v>
      </c>
      <c r="C109" s="119" t="s">
        <v>995</v>
      </c>
      <c r="D109" s="108" t="s">
        <v>1003</v>
      </c>
      <c r="E109" s="109" t="s">
        <v>1004</v>
      </c>
      <c r="F109" s="110">
        <v>742145.44</v>
      </c>
      <c r="G109" s="111">
        <v>45272</v>
      </c>
      <c r="H109" s="111">
        <v>45272</v>
      </c>
      <c r="I109" s="111">
        <v>45638</v>
      </c>
      <c r="J109" s="113" t="s">
        <v>30</v>
      </c>
      <c r="K109" s="114" t="s">
        <v>1332</v>
      </c>
      <c r="L109" s="115" t="s">
        <v>39</v>
      </c>
      <c r="M109" s="107" t="s">
        <v>33</v>
      </c>
    </row>
    <row r="110" spans="1:13" s="116" customFormat="1" ht="109.5" customHeight="1">
      <c r="A110" s="105" t="str">
        <f t="shared" ref="A110" si="63">D110&amp;M110</f>
        <v>23EB0007RETENTION BOND</v>
      </c>
      <c r="B110" s="106">
        <v>78</v>
      </c>
      <c r="C110" s="119" t="s">
        <v>995</v>
      </c>
      <c r="D110" s="108" t="s">
        <v>999</v>
      </c>
      <c r="E110" s="109" t="s">
        <v>996</v>
      </c>
      <c r="F110" s="110">
        <v>992528.06</v>
      </c>
      <c r="G110" s="111">
        <v>45272</v>
      </c>
      <c r="H110" s="111">
        <v>45272</v>
      </c>
      <c r="I110" s="111">
        <v>45638</v>
      </c>
      <c r="J110" s="113" t="s">
        <v>30</v>
      </c>
      <c r="K110" s="114" t="s">
        <v>1333</v>
      </c>
      <c r="L110" s="115" t="s">
        <v>39</v>
      </c>
      <c r="M110" s="107" t="s">
        <v>33</v>
      </c>
    </row>
    <row r="111" spans="1:13" s="116" customFormat="1" ht="109.5" customHeight="1">
      <c r="A111" s="105" t="str">
        <f t="shared" si="57"/>
        <v>23EB0075WARRANTY BOND</v>
      </c>
      <c r="B111" s="106">
        <v>91</v>
      </c>
      <c r="C111" s="119" t="s">
        <v>1334</v>
      </c>
      <c r="D111" s="108" t="s">
        <v>1129</v>
      </c>
      <c r="E111" s="109" t="s">
        <v>1335</v>
      </c>
      <c r="F111" s="110">
        <v>2938833.75</v>
      </c>
      <c r="G111" s="111">
        <v>45282</v>
      </c>
      <c r="H111" s="111">
        <v>45282</v>
      </c>
      <c r="I111" s="111">
        <v>46013</v>
      </c>
      <c r="J111" s="113" t="s">
        <v>27</v>
      </c>
      <c r="K111" s="114" t="s">
        <v>1336</v>
      </c>
      <c r="L111" s="115" t="s">
        <v>32</v>
      </c>
      <c r="M111" s="107" t="s">
        <v>37</v>
      </c>
    </row>
    <row r="112" spans="1:13" s="116" customFormat="1" ht="109.5" customHeight="1">
      <c r="A112" s="105" t="str">
        <f t="shared" ref="A112" si="64">D112&amp;M112</f>
        <v>23EB0074WARRANTY BOND</v>
      </c>
      <c r="B112" s="106">
        <v>102</v>
      </c>
      <c r="C112" s="119" t="s">
        <v>1334</v>
      </c>
      <c r="D112" s="108" t="s">
        <v>1134</v>
      </c>
      <c r="E112" s="109" t="s">
        <v>1337</v>
      </c>
      <c r="F112" s="110">
        <v>2939723.8</v>
      </c>
      <c r="G112" s="111">
        <v>45282</v>
      </c>
      <c r="H112" s="111">
        <v>45282</v>
      </c>
      <c r="I112" s="111">
        <v>46013</v>
      </c>
      <c r="J112" s="113" t="s">
        <v>27</v>
      </c>
      <c r="K112" s="114" t="s">
        <v>1338</v>
      </c>
      <c r="L112" s="115" t="s">
        <v>32</v>
      </c>
      <c r="M112" s="107" t="s">
        <v>37</v>
      </c>
    </row>
    <row r="113" spans="1:13" s="116" customFormat="1" ht="109.5" customHeight="1">
      <c r="A113" s="105" t="str">
        <f t="shared" ref="A113" si="65">D113&amp;M113</f>
        <v>20EB0104WARRANTY BOND</v>
      </c>
      <c r="B113" s="106">
        <v>102</v>
      </c>
      <c r="C113" s="119" t="s">
        <v>371</v>
      </c>
      <c r="D113" s="108" t="s">
        <v>1302</v>
      </c>
      <c r="E113" s="109" t="s">
        <v>1300</v>
      </c>
      <c r="F113" s="110">
        <v>14765376.470000001</v>
      </c>
      <c r="G113" s="111">
        <v>45288</v>
      </c>
      <c r="H113" s="111">
        <v>45288</v>
      </c>
      <c r="I113" s="111">
        <v>46019</v>
      </c>
      <c r="J113" s="113" t="s">
        <v>27</v>
      </c>
      <c r="K113" s="114" t="s">
        <v>1339</v>
      </c>
      <c r="L113" s="115" t="s">
        <v>39</v>
      </c>
      <c r="M113" s="107" t="s">
        <v>37</v>
      </c>
    </row>
    <row r="114" spans="1:13" s="116" customFormat="1" ht="109.5" customHeight="1">
      <c r="A114" s="105" t="str">
        <f t="shared" ref="A114" si="66">D114&amp;M114</f>
        <v>24EB0057PERFORMANCE BOND</v>
      </c>
      <c r="B114" s="106">
        <v>102</v>
      </c>
      <c r="C114" s="119" t="s">
        <v>1340</v>
      </c>
      <c r="D114" s="108" t="s">
        <v>1341</v>
      </c>
      <c r="E114" s="109" t="s">
        <v>1342</v>
      </c>
      <c r="F114" s="110">
        <v>1438493.87</v>
      </c>
      <c r="G114" s="111">
        <v>45316</v>
      </c>
      <c r="H114" s="111">
        <v>45316</v>
      </c>
      <c r="I114" s="111">
        <v>46047</v>
      </c>
      <c r="J114" s="113" t="s">
        <v>27</v>
      </c>
      <c r="K114" s="114" t="s">
        <v>1343</v>
      </c>
      <c r="L114" s="115" t="s">
        <v>32</v>
      </c>
      <c r="M114" s="107" t="s">
        <v>40</v>
      </c>
    </row>
    <row r="115" spans="1:13" s="116" customFormat="1" ht="109.5" customHeight="1">
      <c r="A115" s="105" t="str">
        <f t="shared" ref="A115" si="67">D115&amp;M115</f>
        <v>24EB0057CONTRACTOR'S ALL RISK POLICY</v>
      </c>
      <c r="B115" s="106">
        <v>102</v>
      </c>
      <c r="C115" s="119" t="s">
        <v>1340</v>
      </c>
      <c r="D115" s="108" t="s">
        <v>1341</v>
      </c>
      <c r="E115" s="109" t="s">
        <v>1342</v>
      </c>
      <c r="F115" s="110">
        <v>4794979.55</v>
      </c>
      <c r="G115" s="111">
        <v>45316</v>
      </c>
      <c r="H115" s="111">
        <v>45316</v>
      </c>
      <c r="I115" s="111">
        <v>45682</v>
      </c>
      <c r="J115" s="113" t="s">
        <v>30</v>
      </c>
      <c r="K115" s="114" t="s">
        <v>1344</v>
      </c>
      <c r="L115" s="115" t="s">
        <v>32</v>
      </c>
      <c r="M115" s="107" t="s">
        <v>31</v>
      </c>
    </row>
    <row r="116" spans="1:13" s="116" customFormat="1" ht="109.5" customHeight="1">
      <c r="A116" s="105" t="str">
        <f>D116&amp;M116</f>
        <v>24EB0028CONTRACTOR'S ALL RISK POLICY</v>
      </c>
      <c r="B116" s="106">
        <v>91</v>
      </c>
      <c r="C116" s="119" t="s">
        <v>1340</v>
      </c>
      <c r="D116" s="108" t="s">
        <v>1345</v>
      </c>
      <c r="E116" s="109" t="s">
        <v>1346</v>
      </c>
      <c r="F116" s="110">
        <v>24008999.309999999</v>
      </c>
      <c r="G116" s="111">
        <v>45316</v>
      </c>
      <c r="H116" s="111">
        <v>45316</v>
      </c>
      <c r="I116" s="111">
        <v>45682</v>
      </c>
      <c r="J116" s="113" t="s">
        <v>30</v>
      </c>
      <c r="K116" s="114" t="s">
        <v>1347</v>
      </c>
      <c r="L116" s="115" t="s">
        <v>32</v>
      </c>
      <c r="M116" s="107" t="s">
        <v>31</v>
      </c>
    </row>
    <row r="117" spans="1:13" s="116" customFormat="1" ht="109.5" customHeight="1">
      <c r="A117" s="105" t="str">
        <f>D117&amp;M117</f>
        <v>24EB0028PERFORMANCE BOND</v>
      </c>
      <c r="B117" s="106">
        <v>91</v>
      </c>
      <c r="C117" s="119" t="s">
        <v>1340</v>
      </c>
      <c r="D117" s="108" t="s">
        <v>1345</v>
      </c>
      <c r="E117" s="109" t="s">
        <v>1346</v>
      </c>
      <c r="F117" s="110">
        <v>7202699.79</v>
      </c>
      <c r="G117" s="111">
        <v>45316</v>
      </c>
      <c r="H117" s="111">
        <v>45316</v>
      </c>
      <c r="I117" s="111">
        <v>46047</v>
      </c>
      <c r="J117" s="113" t="s">
        <v>27</v>
      </c>
      <c r="K117" s="114" t="s">
        <v>1348</v>
      </c>
      <c r="L117" s="115" t="s">
        <v>32</v>
      </c>
      <c r="M117" s="107" t="s">
        <v>40</v>
      </c>
    </row>
    <row r="118" spans="1:13" s="116" customFormat="1" ht="96" customHeight="1">
      <c r="A118" s="105" t="str">
        <f t="shared" ref="A118:A119" si="68">D118&amp;M118</f>
        <v>24EB0052PERFORMANCE BOND</v>
      </c>
      <c r="B118" s="106">
        <v>101</v>
      </c>
      <c r="C118" s="119" t="s">
        <v>1340</v>
      </c>
      <c r="D118" s="108" t="s">
        <v>1349</v>
      </c>
      <c r="E118" s="109" t="s">
        <v>1350</v>
      </c>
      <c r="F118" s="110">
        <v>1439226.09</v>
      </c>
      <c r="G118" s="111">
        <v>45316</v>
      </c>
      <c r="H118" s="111">
        <v>45316</v>
      </c>
      <c r="I118" s="111">
        <v>46047</v>
      </c>
      <c r="J118" s="113" t="s">
        <v>27</v>
      </c>
      <c r="K118" s="114" t="s">
        <v>1351</v>
      </c>
      <c r="L118" s="115" t="s">
        <v>32</v>
      </c>
      <c r="M118" s="107" t="s">
        <v>40</v>
      </c>
    </row>
    <row r="119" spans="1:13" s="116" customFormat="1" ht="109.5" customHeight="1">
      <c r="A119" s="105" t="str">
        <f t="shared" si="68"/>
        <v>24EB0052CONTRACTOR'S ALL RISK POLICY</v>
      </c>
      <c r="B119" s="106">
        <v>91</v>
      </c>
      <c r="C119" s="119" t="s">
        <v>1340</v>
      </c>
      <c r="D119" s="108" t="s">
        <v>1349</v>
      </c>
      <c r="E119" s="109" t="s">
        <v>1350</v>
      </c>
      <c r="F119" s="110">
        <v>4797420.3099999996</v>
      </c>
      <c r="G119" s="111">
        <v>45316</v>
      </c>
      <c r="H119" s="111">
        <v>45316</v>
      </c>
      <c r="I119" s="111">
        <v>45682</v>
      </c>
      <c r="J119" s="113" t="s">
        <v>30</v>
      </c>
      <c r="K119" s="114" t="s">
        <v>1352</v>
      </c>
      <c r="L119" s="115" t="s">
        <v>32</v>
      </c>
      <c r="M119" s="107" t="s">
        <v>31</v>
      </c>
    </row>
    <row r="120" spans="1:13" s="116" customFormat="1" ht="113.25" customHeight="1">
      <c r="A120" s="105" t="str">
        <f t="shared" ref="A120:A126" si="69">D120&amp;M120</f>
        <v>24EB0018CONTRACTOR'S ALL RISK POLICY</v>
      </c>
      <c r="B120" s="106">
        <v>97</v>
      </c>
      <c r="C120" s="119" t="s">
        <v>36</v>
      </c>
      <c r="D120" s="108" t="s">
        <v>1356</v>
      </c>
      <c r="E120" s="109" t="s">
        <v>1353</v>
      </c>
      <c r="F120" s="110">
        <v>1949628.94</v>
      </c>
      <c r="G120" s="111">
        <v>45316</v>
      </c>
      <c r="H120" s="111">
        <v>45316</v>
      </c>
      <c r="I120" s="111">
        <v>45682</v>
      </c>
      <c r="J120" s="113" t="s">
        <v>30</v>
      </c>
      <c r="K120" s="114" t="s">
        <v>1354</v>
      </c>
      <c r="L120" s="115" t="s">
        <v>32</v>
      </c>
      <c r="M120" s="107" t="s">
        <v>31</v>
      </c>
    </row>
    <row r="121" spans="1:13" s="116" customFormat="1" ht="109.5" customHeight="1">
      <c r="A121" s="105" t="str">
        <f t="shared" si="69"/>
        <v>24EB0018PERFORMANCE BOND</v>
      </c>
      <c r="B121" s="106">
        <v>91</v>
      </c>
      <c r="C121" s="119" t="s">
        <v>36</v>
      </c>
      <c r="D121" s="108" t="s">
        <v>1356</v>
      </c>
      <c r="E121" s="109" t="s">
        <v>1353</v>
      </c>
      <c r="F121" s="110">
        <v>584888.68000000005</v>
      </c>
      <c r="G121" s="111">
        <v>45316</v>
      </c>
      <c r="H121" s="111">
        <v>45316</v>
      </c>
      <c r="I121" s="111">
        <v>46047</v>
      </c>
      <c r="J121" s="113" t="s">
        <v>27</v>
      </c>
      <c r="K121" s="114" t="s">
        <v>1355</v>
      </c>
      <c r="L121" s="115" t="s">
        <v>32</v>
      </c>
      <c r="M121" s="107" t="s">
        <v>40</v>
      </c>
    </row>
    <row r="122" spans="1:13" s="116" customFormat="1" ht="109.5" customHeight="1">
      <c r="A122" s="105" t="str">
        <f t="shared" si="69"/>
        <v>24EB0021CONTRACTOR'S ALL RISK POLICY</v>
      </c>
      <c r="B122" s="106">
        <v>91</v>
      </c>
      <c r="C122" s="119" t="s">
        <v>36</v>
      </c>
      <c r="D122" s="108" t="s">
        <v>1357</v>
      </c>
      <c r="E122" s="109" t="s">
        <v>1358</v>
      </c>
      <c r="F122" s="110">
        <v>1093019.54</v>
      </c>
      <c r="G122" s="111">
        <v>45316</v>
      </c>
      <c r="H122" s="111">
        <v>45316</v>
      </c>
      <c r="I122" s="111">
        <v>45682</v>
      </c>
      <c r="J122" s="113" t="s">
        <v>30</v>
      </c>
      <c r="K122" s="114" t="s">
        <v>1359</v>
      </c>
      <c r="L122" s="115" t="s">
        <v>32</v>
      </c>
      <c r="M122" s="107" t="s">
        <v>31</v>
      </c>
    </row>
    <row r="123" spans="1:13" s="116" customFormat="1" ht="109.5" customHeight="1">
      <c r="A123" s="105" t="str">
        <f t="shared" si="69"/>
        <v>24EB0021PERFORMANCE BOND</v>
      </c>
      <c r="B123" s="106">
        <v>91</v>
      </c>
      <c r="C123" s="119" t="s">
        <v>36</v>
      </c>
      <c r="D123" s="108" t="s">
        <v>1357</v>
      </c>
      <c r="E123" s="109" t="s">
        <v>1358</v>
      </c>
      <c r="F123" s="110">
        <v>327905.86</v>
      </c>
      <c r="G123" s="111">
        <v>45316</v>
      </c>
      <c r="H123" s="111">
        <v>45316</v>
      </c>
      <c r="I123" s="111">
        <v>46047</v>
      </c>
      <c r="J123" s="113" t="s">
        <v>27</v>
      </c>
      <c r="K123" s="114" t="s">
        <v>1360</v>
      </c>
      <c r="L123" s="115" t="s">
        <v>32</v>
      </c>
      <c r="M123" s="107" t="s">
        <v>40</v>
      </c>
    </row>
    <row r="124" spans="1:13" s="116" customFormat="1" ht="96" customHeight="1">
      <c r="A124" s="105" t="str">
        <f t="shared" si="69"/>
        <v>24EB0026CONTRACTOR'S ALL RISK POLICY</v>
      </c>
      <c r="B124" s="106">
        <v>101</v>
      </c>
      <c r="C124" s="119" t="s">
        <v>1361</v>
      </c>
      <c r="D124" s="108" t="s">
        <v>1362</v>
      </c>
      <c r="E124" s="109" t="s">
        <v>1363</v>
      </c>
      <c r="F124" s="110">
        <v>23960796.899999999</v>
      </c>
      <c r="G124" s="111">
        <v>45316</v>
      </c>
      <c r="H124" s="111">
        <v>45316</v>
      </c>
      <c r="I124" s="111">
        <v>45682</v>
      </c>
      <c r="J124" s="113" t="s">
        <v>30</v>
      </c>
      <c r="K124" s="114" t="s">
        <v>1364</v>
      </c>
      <c r="L124" s="115" t="s">
        <v>32</v>
      </c>
      <c r="M124" s="107" t="s">
        <v>31</v>
      </c>
    </row>
    <row r="125" spans="1:13" s="116" customFormat="1" ht="108.75" customHeight="1">
      <c r="A125" s="105" t="str">
        <f t="shared" si="69"/>
        <v>24EB0026PERFORMANCE BOND</v>
      </c>
      <c r="B125" s="106">
        <v>125</v>
      </c>
      <c r="C125" s="119" t="s">
        <v>1361</v>
      </c>
      <c r="D125" s="108" t="s">
        <v>1362</v>
      </c>
      <c r="E125" s="109" t="s">
        <v>1363</v>
      </c>
      <c r="F125" s="110">
        <v>7188239.0700000003</v>
      </c>
      <c r="G125" s="111">
        <v>45316</v>
      </c>
      <c r="H125" s="111">
        <v>45316</v>
      </c>
      <c r="I125" s="111">
        <v>46047</v>
      </c>
      <c r="J125" s="113" t="s">
        <v>27</v>
      </c>
      <c r="K125" s="114" t="s">
        <v>1365</v>
      </c>
      <c r="L125" s="115" t="s">
        <v>32</v>
      </c>
      <c r="M125" s="107" t="s">
        <v>40</v>
      </c>
    </row>
    <row r="126" spans="1:13" s="116" customFormat="1" ht="109.5" customHeight="1">
      <c r="A126" s="105" t="str">
        <f t="shared" si="69"/>
        <v>24EB0051-R1CONTRACTOR'S ALL RISK POLICY</v>
      </c>
      <c r="B126" s="106">
        <v>91</v>
      </c>
      <c r="C126" s="119" t="s">
        <v>453</v>
      </c>
      <c r="D126" s="108" t="s">
        <v>1366</v>
      </c>
      <c r="E126" s="109" t="s">
        <v>1367</v>
      </c>
      <c r="F126" s="110">
        <v>4902240.9400000004</v>
      </c>
      <c r="G126" s="111">
        <v>45316</v>
      </c>
      <c r="H126" s="111">
        <v>45316</v>
      </c>
      <c r="I126" s="111">
        <v>45682</v>
      </c>
      <c r="J126" s="113" t="s">
        <v>30</v>
      </c>
      <c r="K126" s="114" t="s">
        <v>1368</v>
      </c>
      <c r="L126" s="115" t="s">
        <v>69</v>
      </c>
      <c r="M126" s="107" t="s">
        <v>31</v>
      </c>
    </row>
    <row r="127" spans="1:13" s="116" customFormat="1" ht="96" customHeight="1">
      <c r="A127" s="105" t="str">
        <f t="shared" ref="A127" si="70">D127&amp;M127</f>
        <v>24EB0051-R1PERFORMANCE BOND</v>
      </c>
      <c r="B127" s="106">
        <v>101</v>
      </c>
      <c r="C127" s="119" t="s">
        <v>453</v>
      </c>
      <c r="D127" s="108" t="s">
        <v>1366</v>
      </c>
      <c r="E127" s="109" t="s">
        <v>1367</v>
      </c>
      <c r="F127" s="110">
        <v>1470672.28</v>
      </c>
      <c r="G127" s="111">
        <v>45316</v>
      </c>
      <c r="H127" s="111">
        <v>45316</v>
      </c>
      <c r="I127" s="111">
        <v>46047</v>
      </c>
      <c r="J127" s="113" t="s">
        <v>27</v>
      </c>
      <c r="K127" s="114" t="s">
        <v>1369</v>
      </c>
      <c r="L127" s="115" t="s">
        <v>69</v>
      </c>
      <c r="M127" s="107" t="s">
        <v>40</v>
      </c>
    </row>
    <row r="128" spans="1:13" s="116" customFormat="1" ht="82.5" customHeight="1">
      <c r="A128" s="105" t="str">
        <f t="shared" ref="A128:A143" si="71">D128&amp;M128</f>
        <v>24EB0022PERFORMANCE BOND</v>
      </c>
      <c r="B128" s="106">
        <v>118</v>
      </c>
      <c r="C128" s="119" t="s">
        <v>44</v>
      </c>
      <c r="D128" s="108" t="s">
        <v>1370</v>
      </c>
      <c r="E128" s="109" t="s">
        <v>1371</v>
      </c>
      <c r="F128" s="110">
        <v>1727256.71</v>
      </c>
      <c r="G128" s="111">
        <v>45316</v>
      </c>
      <c r="H128" s="111">
        <v>45316</v>
      </c>
      <c r="I128" s="111">
        <v>46047</v>
      </c>
      <c r="J128" s="113" t="s">
        <v>27</v>
      </c>
      <c r="K128" s="114" t="s">
        <v>1372</v>
      </c>
      <c r="L128" s="115" t="s">
        <v>69</v>
      </c>
      <c r="M128" s="107" t="s">
        <v>40</v>
      </c>
    </row>
    <row r="129" spans="1:13" s="116" customFormat="1" ht="82.5" customHeight="1">
      <c r="A129" s="105" t="str">
        <f t="shared" ref="A129:A130" si="72">D129&amp;M129</f>
        <v>24EB0022CONTRACTOR'S ALL RISK POLICY</v>
      </c>
      <c r="B129" s="106">
        <v>118</v>
      </c>
      <c r="C129" s="119" t="s">
        <v>44</v>
      </c>
      <c r="D129" s="108" t="s">
        <v>1370</v>
      </c>
      <c r="E129" s="109" t="s">
        <v>1371</v>
      </c>
      <c r="F129" s="110">
        <v>5757522.3799999999</v>
      </c>
      <c r="G129" s="111">
        <v>45316</v>
      </c>
      <c r="H129" s="111">
        <v>45316</v>
      </c>
      <c r="I129" s="111">
        <v>45682</v>
      </c>
      <c r="J129" s="113" t="s">
        <v>30</v>
      </c>
      <c r="K129" s="114" t="s">
        <v>1373</v>
      </c>
      <c r="L129" s="115" t="s">
        <v>69</v>
      </c>
      <c r="M129" s="107" t="s">
        <v>31</v>
      </c>
    </row>
    <row r="130" spans="1:13" s="116" customFormat="1" ht="82.5" customHeight="1">
      <c r="A130" s="105" t="str">
        <f t="shared" si="72"/>
        <v>24EB0054PERFORMANCE BOND</v>
      </c>
      <c r="B130" s="106">
        <v>117</v>
      </c>
      <c r="C130" s="119" t="s">
        <v>44</v>
      </c>
      <c r="D130" s="108" t="s">
        <v>1374</v>
      </c>
      <c r="E130" s="109" t="s">
        <v>1375</v>
      </c>
      <c r="F130" s="110">
        <v>1435621.1</v>
      </c>
      <c r="G130" s="111">
        <v>45316</v>
      </c>
      <c r="H130" s="111">
        <v>45316</v>
      </c>
      <c r="I130" s="111">
        <v>46047</v>
      </c>
      <c r="J130" s="113" t="s">
        <v>27</v>
      </c>
      <c r="K130" s="114" t="s">
        <v>1376</v>
      </c>
      <c r="L130" s="115" t="s">
        <v>69</v>
      </c>
      <c r="M130" s="107" t="s">
        <v>40</v>
      </c>
    </row>
    <row r="131" spans="1:13" s="116" customFormat="1" ht="82.5" customHeight="1">
      <c r="A131" s="105" t="str">
        <f t="shared" ref="A131" si="73">D131&amp;M131</f>
        <v>24EB0054CONTRACTOR'S ALL RISK POLICY</v>
      </c>
      <c r="B131" s="106">
        <v>117</v>
      </c>
      <c r="C131" s="119" t="s">
        <v>44</v>
      </c>
      <c r="D131" s="108" t="s">
        <v>1374</v>
      </c>
      <c r="E131" s="109" t="s">
        <v>1375</v>
      </c>
      <c r="F131" s="110">
        <v>4785403.68</v>
      </c>
      <c r="G131" s="111">
        <v>45316</v>
      </c>
      <c r="H131" s="111">
        <v>45316</v>
      </c>
      <c r="I131" s="111">
        <v>45682</v>
      </c>
      <c r="J131" s="113" t="s">
        <v>30</v>
      </c>
      <c r="K131" s="114" t="s">
        <v>1377</v>
      </c>
      <c r="L131" s="115" t="s">
        <v>69</v>
      </c>
      <c r="M131" s="107" t="s">
        <v>31</v>
      </c>
    </row>
    <row r="132" spans="1:13" s="116" customFormat="1" ht="82.5" customHeight="1">
      <c r="A132" s="105" t="str">
        <f t="shared" si="71"/>
        <v>24EB0050PERFORMANCE BOND</v>
      </c>
      <c r="B132" s="106">
        <v>122</v>
      </c>
      <c r="C132" s="119" t="s">
        <v>1287</v>
      </c>
      <c r="D132" s="108" t="s">
        <v>1378</v>
      </c>
      <c r="E132" s="109" t="s">
        <v>1379</v>
      </c>
      <c r="F132" s="110">
        <v>1455235.58</v>
      </c>
      <c r="G132" s="111">
        <v>45316</v>
      </c>
      <c r="H132" s="111">
        <v>45316</v>
      </c>
      <c r="I132" s="111">
        <v>46047</v>
      </c>
      <c r="J132" s="113" t="s">
        <v>27</v>
      </c>
      <c r="K132" s="114" t="s">
        <v>1380</v>
      </c>
      <c r="L132" s="115" t="s">
        <v>69</v>
      </c>
      <c r="M132" s="107" t="s">
        <v>40</v>
      </c>
    </row>
    <row r="133" spans="1:13" s="116" customFormat="1" ht="94.5" customHeight="1">
      <c r="A133" s="105" t="str">
        <f t="shared" ref="A133:A134" si="74">D133&amp;M133</f>
        <v>24EB0050CONTRACTOR'S ALL RISK POLICY</v>
      </c>
      <c r="B133" s="106">
        <v>122</v>
      </c>
      <c r="C133" s="119" t="s">
        <v>1287</v>
      </c>
      <c r="D133" s="108" t="s">
        <v>1378</v>
      </c>
      <c r="E133" s="109" t="s">
        <v>1379</v>
      </c>
      <c r="F133" s="110">
        <v>4850785.28</v>
      </c>
      <c r="G133" s="111">
        <v>45316</v>
      </c>
      <c r="H133" s="111">
        <v>45316</v>
      </c>
      <c r="I133" s="111">
        <v>45682</v>
      </c>
      <c r="J133" s="113" t="s">
        <v>30</v>
      </c>
      <c r="K133" s="114" t="s">
        <v>1377</v>
      </c>
      <c r="L133" s="115" t="s">
        <v>69</v>
      </c>
      <c r="M133" s="107" t="s">
        <v>31</v>
      </c>
    </row>
    <row r="134" spans="1:13" s="116" customFormat="1" ht="82.5" customHeight="1">
      <c r="A134" s="105" t="str">
        <f t="shared" si="74"/>
        <v>24EB0044PERFORMANCE BOND</v>
      </c>
      <c r="B134" s="106">
        <v>117</v>
      </c>
      <c r="C134" s="119" t="s">
        <v>44</v>
      </c>
      <c r="D134" s="108" t="s">
        <v>1381</v>
      </c>
      <c r="E134" s="109" t="s">
        <v>1382</v>
      </c>
      <c r="F134" s="110">
        <v>4351200.7300000004</v>
      </c>
      <c r="G134" s="111">
        <v>45316</v>
      </c>
      <c r="H134" s="111">
        <v>45316</v>
      </c>
      <c r="I134" s="111">
        <v>46047</v>
      </c>
      <c r="J134" s="113" t="s">
        <v>27</v>
      </c>
      <c r="K134" s="114" t="s">
        <v>1383</v>
      </c>
      <c r="L134" s="115" t="s">
        <v>69</v>
      </c>
      <c r="M134" s="107" t="s">
        <v>40</v>
      </c>
    </row>
    <row r="135" spans="1:13" s="116" customFormat="1" ht="82.5" customHeight="1">
      <c r="A135" s="105" t="str">
        <f t="shared" si="71"/>
        <v>24EB0044CONTRACTOR'S ALL RISK POLICY</v>
      </c>
      <c r="B135" s="106">
        <v>125</v>
      </c>
      <c r="C135" s="119" t="s">
        <v>44</v>
      </c>
      <c r="D135" s="108" t="s">
        <v>1381</v>
      </c>
      <c r="E135" s="109" t="s">
        <v>1382</v>
      </c>
      <c r="F135" s="110">
        <v>14504002.43</v>
      </c>
      <c r="G135" s="111">
        <v>45316</v>
      </c>
      <c r="H135" s="111">
        <v>45316</v>
      </c>
      <c r="I135" s="111">
        <v>45682</v>
      </c>
      <c r="J135" s="113" t="s">
        <v>30</v>
      </c>
      <c r="K135" s="114" t="s">
        <v>1384</v>
      </c>
      <c r="L135" s="115" t="s">
        <v>69</v>
      </c>
      <c r="M135" s="107" t="s">
        <v>31</v>
      </c>
    </row>
    <row r="136" spans="1:13" s="116" customFormat="1" ht="82.5" customHeight="1">
      <c r="A136" s="105" t="str">
        <f t="shared" ref="A136" si="75">D136&amp;M136</f>
        <v>24EB0039PERFORMANCE BOND</v>
      </c>
      <c r="B136" s="106">
        <v>125</v>
      </c>
      <c r="C136" s="119" t="s">
        <v>1287</v>
      </c>
      <c r="D136" s="108" t="s">
        <v>1386</v>
      </c>
      <c r="E136" s="109" t="s">
        <v>1385</v>
      </c>
      <c r="F136" s="110">
        <v>4320715.3099999996</v>
      </c>
      <c r="G136" s="111">
        <v>45316</v>
      </c>
      <c r="H136" s="111">
        <v>45316</v>
      </c>
      <c r="I136" s="111">
        <v>46047</v>
      </c>
      <c r="J136" s="113" t="s">
        <v>27</v>
      </c>
      <c r="K136" s="114" t="s">
        <v>1387</v>
      </c>
      <c r="L136" s="115" t="s">
        <v>69</v>
      </c>
      <c r="M136" s="107" t="s">
        <v>40</v>
      </c>
    </row>
    <row r="137" spans="1:13" s="116" customFormat="1" ht="82.5" customHeight="1">
      <c r="A137" s="105" t="str">
        <f t="shared" ref="A137:A138" si="76">D137&amp;M137</f>
        <v>24EB0039CONTRACTOR'S ALL RISK POLICY</v>
      </c>
      <c r="B137" s="106">
        <v>125</v>
      </c>
      <c r="C137" s="119" t="s">
        <v>1287</v>
      </c>
      <c r="D137" s="108" t="s">
        <v>1386</v>
      </c>
      <c r="E137" s="109" t="s">
        <v>1385</v>
      </c>
      <c r="F137" s="110">
        <v>14402384.380000001</v>
      </c>
      <c r="G137" s="111">
        <v>45316</v>
      </c>
      <c r="H137" s="111">
        <v>45316</v>
      </c>
      <c r="I137" s="111">
        <v>45682</v>
      </c>
      <c r="J137" s="113" t="s">
        <v>30</v>
      </c>
      <c r="K137" s="114" t="s">
        <v>1388</v>
      </c>
      <c r="L137" s="115" t="s">
        <v>69</v>
      </c>
      <c r="M137" s="107" t="s">
        <v>31</v>
      </c>
    </row>
    <row r="138" spans="1:13" s="116" customFormat="1" ht="82.5" customHeight="1">
      <c r="A138" s="105" t="str">
        <f t="shared" si="76"/>
        <v>24EB0025PERFORMANCE BOND</v>
      </c>
      <c r="B138" s="106">
        <v>122</v>
      </c>
      <c r="C138" s="119" t="s">
        <v>44</v>
      </c>
      <c r="D138" s="108" t="s">
        <v>1390</v>
      </c>
      <c r="E138" s="109" t="s">
        <v>1389</v>
      </c>
      <c r="F138" s="110">
        <v>837899.99</v>
      </c>
      <c r="G138" s="111">
        <v>45316</v>
      </c>
      <c r="H138" s="111">
        <v>45316</v>
      </c>
      <c r="I138" s="111">
        <v>46047</v>
      </c>
      <c r="J138" s="113" t="s">
        <v>27</v>
      </c>
      <c r="K138" s="114" t="s">
        <v>1391</v>
      </c>
      <c r="L138" s="115" t="s">
        <v>69</v>
      </c>
      <c r="M138" s="107" t="s">
        <v>40</v>
      </c>
    </row>
    <row r="139" spans="1:13" s="116" customFormat="1" ht="82.5" customHeight="1">
      <c r="A139" s="105" t="str">
        <f t="shared" ref="A139" si="77">D139&amp;M139</f>
        <v>24EB0025CONTRACTOR'S ALL RISK POLICY</v>
      </c>
      <c r="B139" s="106">
        <v>122</v>
      </c>
      <c r="C139" s="119" t="s">
        <v>44</v>
      </c>
      <c r="D139" s="108" t="s">
        <v>1390</v>
      </c>
      <c r="E139" s="109" t="s">
        <v>1389</v>
      </c>
      <c r="F139" s="110">
        <v>2792999.98</v>
      </c>
      <c r="G139" s="111">
        <v>45316</v>
      </c>
      <c r="H139" s="111">
        <v>45316</v>
      </c>
      <c r="I139" s="111">
        <v>45682</v>
      </c>
      <c r="J139" s="113" t="s">
        <v>30</v>
      </c>
      <c r="K139" s="114" t="s">
        <v>1392</v>
      </c>
      <c r="L139" s="115" t="s">
        <v>69</v>
      </c>
      <c r="M139" s="107" t="s">
        <v>31</v>
      </c>
    </row>
    <row r="140" spans="1:13" s="116" customFormat="1" ht="86.25" customHeight="1">
      <c r="A140" s="105" t="str">
        <f t="shared" ref="A140" si="78">D140&amp;M140</f>
        <v>24EB0037PERFORMANCE BOND</v>
      </c>
      <c r="B140" s="106">
        <v>129</v>
      </c>
      <c r="C140" s="119" t="s">
        <v>931</v>
      </c>
      <c r="D140" s="108" t="s">
        <v>1393</v>
      </c>
      <c r="E140" s="172" t="s">
        <v>1394</v>
      </c>
      <c r="F140" s="110">
        <v>14677622.220000001</v>
      </c>
      <c r="G140" s="111">
        <v>45316</v>
      </c>
      <c r="H140" s="111">
        <v>45316</v>
      </c>
      <c r="I140" s="111">
        <v>46047</v>
      </c>
      <c r="J140" s="113" t="s">
        <v>27</v>
      </c>
      <c r="K140" s="114" t="s">
        <v>1395</v>
      </c>
      <c r="L140" s="115" t="s">
        <v>69</v>
      </c>
      <c r="M140" s="107" t="s">
        <v>40</v>
      </c>
    </row>
    <row r="141" spans="1:13" s="116" customFormat="1" ht="82.5" customHeight="1">
      <c r="A141" s="105" t="str">
        <f t="shared" si="71"/>
        <v>24EB0037CONTRACTOR'S ALL RISK POLICY</v>
      </c>
      <c r="B141" s="106">
        <v>131</v>
      </c>
      <c r="C141" s="119" t="s">
        <v>931</v>
      </c>
      <c r="D141" s="108" t="s">
        <v>1393</v>
      </c>
      <c r="E141" s="172" t="s">
        <v>1394</v>
      </c>
      <c r="F141" s="110">
        <v>48925407.390000001</v>
      </c>
      <c r="G141" s="111">
        <v>45316</v>
      </c>
      <c r="H141" s="111">
        <v>45316</v>
      </c>
      <c r="I141" s="111">
        <v>45682</v>
      </c>
      <c r="J141" s="113" t="s">
        <v>30</v>
      </c>
      <c r="K141" s="114" t="s">
        <v>1396</v>
      </c>
      <c r="L141" s="115" t="s">
        <v>69</v>
      </c>
      <c r="M141" s="107" t="s">
        <v>31</v>
      </c>
    </row>
    <row r="142" spans="1:13" s="116" customFormat="1" ht="82.5" customHeight="1">
      <c r="A142" s="105" t="str">
        <f t="shared" si="71"/>
        <v>24EB0036PERFORMANCE BOND</v>
      </c>
      <c r="B142" s="106">
        <v>132</v>
      </c>
      <c r="C142" s="119" t="s">
        <v>44</v>
      </c>
      <c r="D142" s="108" t="s">
        <v>1398</v>
      </c>
      <c r="E142" s="109" t="s">
        <v>1397</v>
      </c>
      <c r="F142" s="110">
        <v>5641886.96</v>
      </c>
      <c r="G142" s="111">
        <v>45316</v>
      </c>
      <c r="H142" s="111">
        <v>45316</v>
      </c>
      <c r="I142" s="111">
        <v>46047</v>
      </c>
      <c r="J142" s="113" t="s">
        <v>27</v>
      </c>
      <c r="K142" s="114" t="s">
        <v>1399</v>
      </c>
      <c r="L142" s="115" t="s">
        <v>69</v>
      </c>
      <c r="M142" s="107" t="s">
        <v>40</v>
      </c>
    </row>
    <row r="143" spans="1:13" s="116" customFormat="1" ht="126" customHeight="1">
      <c r="A143" s="105" t="str">
        <f t="shared" si="71"/>
        <v>24EB0036CONTRACTOR'S ALL RISK POLICY</v>
      </c>
      <c r="B143" s="106">
        <v>133</v>
      </c>
      <c r="C143" s="119" t="s">
        <v>44</v>
      </c>
      <c r="D143" s="108" t="s">
        <v>1398</v>
      </c>
      <c r="E143" s="109" t="s">
        <v>1397</v>
      </c>
      <c r="F143" s="110">
        <v>18806289.850000001</v>
      </c>
      <c r="G143" s="111">
        <v>45316</v>
      </c>
      <c r="H143" s="111">
        <v>45316</v>
      </c>
      <c r="I143" s="111">
        <v>45682</v>
      </c>
      <c r="J143" s="113" t="s">
        <v>30</v>
      </c>
      <c r="K143" s="114" t="s">
        <v>1400</v>
      </c>
      <c r="L143" s="115" t="s">
        <v>69</v>
      </c>
      <c r="M143" s="107" t="s">
        <v>31</v>
      </c>
    </row>
    <row r="144" spans="1:13" s="116" customFormat="1" ht="126" customHeight="1">
      <c r="A144" s="105" t="str">
        <f t="shared" ref="A144" si="79">D144&amp;M144</f>
        <v>24EB0035PERFORMANCE BOND</v>
      </c>
      <c r="B144" s="106">
        <v>133</v>
      </c>
      <c r="C144" s="119" t="s">
        <v>44</v>
      </c>
      <c r="D144" s="108" t="s">
        <v>1401</v>
      </c>
      <c r="E144" s="109" t="s">
        <v>805</v>
      </c>
      <c r="F144" s="110">
        <v>5644100.4500000002</v>
      </c>
      <c r="G144" s="111">
        <v>45316</v>
      </c>
      <c r="H144" s="111">
        <v>45316</v>
      </c>
      <c r="I144" s="111">
        <v>46047</v>
      </c>
      <c r="J144" s="113" t="s">
        <v>27</v>
      </c>
      <c r="K144" s="114" t="s">
        <v>1402</v>
      </c>
      <c r="L144" s="115" t="s">
        <v>69</v>
      </c>
      <c r="M144" s="107" t="s">
        <v>40</v>
      </c>
    </row>
    <row r="145" spans="1:13" s="116" customFormat="1" ht="108.75" customHeight="1">
      <c r="A145" s="105" t="str">
        <f t="shared" ref="A145:A146" si="80">D145&amp;M145</f>
        <v>24EB0035CONTRACTOR'S ALL RISK POLICY</v>
      </c>
      <c r="B145" s="106">
        <v>125</v>
      </c>
      <c r="C145" s="119" t="s">
        <v>44</v>
      </c>
      <c r="D145" s="108" t="s">
        <v>1401</v>
      </c>
      <c r="E145" s="109" t="s">
        <v>805</v>
      </c>
      <c r="F145" s="110">
        <v>18813668.16</v>
      </c>
      <c r="G145" s="111">
        <v>45316</v>
      </c>
      <c r="H145" s="111">
        <v>45316</v>
      </c>
      <c r="I145" s="111">
        <v>45682</v>
      </c>
      <c r="J145" s="113" t="s">
        <v>30</v>
      </c>
      <c r="K145" s="114" t="s">
        <v>1403</v>
      </c>
      <c r="L145" s="115" t="s">
        <v>69</v>
      </c>
      <c r="M145" s="107" t="s">
        <v>31</v>
      </c>
    </row>
    <row r="146" spans="1:13" s="116" customFormat="1" ht="102" customHeight="1">
      <c r="A146" s="105" t="str">
        <f t="shared" si="80"/>
        <v>24EB0027PERFORMANCE BOND</v>
      </c>
      <c r="B146" s="106">
        <v>164</v>
      </c>
      <c r="C146" s="119" t="s">
        <v>1405</v>
      </c>
      <c r="D146" s="108" t="s">
        <v>1407</v>
      </c>
      <c r="E146" s="109" t="s">
        <v>1404</v>
      </c>
      <c r="F146" s="110">
        <v>7166100</v>
      </c>
      <c r="G146" s="111">
        <v>45316</v>
      </c>
      <c r="H146" s="111">
        <v>45316</v>
      </c>
      <c r="I146" s="111">
        <v>46047</v>
      </c>
      <c r="J146" s="113" t="s">
        <v>27</v>
      </c>
      <c r="K146" s="114" t="s">
        <v>1406</v>
      </c>
      <c r="L146" s="115" t="s">
        <v>69</v>
      </c>
      <c r="M146" s="107" t="s">
        <v>40</v>
      </c>
    </row>
    <row r="147" spans="1:13" s="116" customFormat="1" ht="108.75" customHeight="1">
      <c r="A147" s="105" t="str">
        <f t="shared" ref="A147:A148" si="81">D147&amp;M147</f>
        <v>24EB0027CONTRACTOR'S ALL RISK POLICY</v>
      </c>
      <c r="B147" s="106">
        <v>125</v>
      </c>
      <c r="C147" s="119" t="s">
        <v>1405</v>
      </c>
      <c r="D147" s="108" t="s">
        <v>1407</v>
      </c>
      <c r="E147" s="109" t="s">
        <v>1404</v>
      </c>
      <c r="F147" s="110">
        <v>23887000</v>
      </c>
      <c r="G147" s="111">
        <v>45316</v>
      </c>
      <c r="H147" s="111">
        <v>45316</v>
      </c>
      <c r="I147" s="111">
        <v>45682</v>
      </c>
      <c r="J147" s="113" t="s">
        <v>30</v>
      </c>
      <c r="K147" s="114" t="s">
        <v>1408</v>
      </c>
      <c r="L147" s="115" t="s">
        <v>69</v>
      </c>
      <c r="M147" s="107" t="s">
        <v>31</v>
      </c>
    </row>
    <row r="148" spans="1:13" s="116" customFormat="1" ht="108.75" customHeight="1">
      <c r="A148" s="105" t="str">
        <f t="shared" si="81"/>
        <v>24EB0017PERFORMANCE BOND</v>
      </c>
      <c r="B148" s="106">
        <v>125</v>
      </c>
      <c r="C148" s="119" t="s">
        <v>68</v>
      </c>
      <c r="D148" s="108" t="s">
        <v>1409</v>
      </c>
      <c r="E148" s="109" t="s">
        <v>1410</v>
      </c>
      <c r="F148" s="110">
        <v>6735326.2800000003</v>
      </c>
      <c r="G148" s="111">
        <v>45316</v>
      </c>
      <c r="H148" s="111">
        <v>45316</v>
      </c>
      <c r="I148" s="111">
        <v>46047</v>
      </c>
      <c r="J148" s="113" t="s">
        <v>27</v>
      </c>
      <c r="K148" s="114" t="s">
        <v>1411</v>
      </c>
      <c r="L148" s="115" t="s">
        <v>69</v>
      </c>
      <c r="M148" s="107" t="s">
        <v>40</v>
      </c>
    </row>
    <row r="149" spans="1:13" s="116" customFormat="1" ht="108.75" customHeight="1">
      <c r="A149" s="105" t="str">
        <f t="shared" ref="A149:A152" si="82">D149&amp;M149</f>
        <v>24EB0017CONTRACTOR'S ALL RISK POLICY</v>
      </c>
      <c r="B149" s="106">
        <v>125</v>
      </c>
      <c r="C149" s="119" t="s">
        <v>68</v>
      </c>
      <c r="D149" s="108" t="s">
        <v>1409</v>
      </c>
      <c r="E149" s="109" t="s">
        <v>1410</v>
      </c>
      <c r="F149" s="110">
        <v>22451087.600000001</v>
      </c>
      <c r="G149" s="111">
        <v>45316</v>
      </c>
      <c r="H149" s="111">
        <v>45316</v>
      </c>
      <c r="I149" s="111">
        <v>45682</v>
      </c>
      <c r="J149" s="113" t="s">
        <v>30</v>
      </c>
      <c r="K149" s="114" t="s">
        <v>1412</v>
      </c>
      <c r="L149" s="115" t="s">
        <v>69</v>
      </c>
      <c r="M149" s="107" t="s">
        <v>31</v>
      </c>
    </row>
    <row r="150" spans="1:13" s="116" customFormat="1" ht="108.75" customHeight="1">
      <c r="A150" s="105" t="str">
        <f t="shared" si="82"/>
        <v>24EB0014CONTRACTOR'S ALL RISK POLICY</v>
      </c>
      <c r="B150" s="106">
        <v>125</v>
      </c>
      <c r="C150" s="119" t="s">
        <v>1413</v>
      </c>
      <c r="D150" s="108" t="s">
        <v>1414</v>
      </c>
      <c r="E150" s="109" t="s">
        <v>1415</v>
      </c>
      <c r="F150" s="110">
        <v>44176393.32</v>
      </c>
      <c r="G150" s="111">
        <v>45316</v>
      </c>
      <c r="H150" s="111">
        <v>45316</v>
      </c>
      <c r="I150" s="111">
        <v>45682</v>
      </c>
      <c r="J150" s="113" t="s">
        <v>30</v>
      </c>
      <c r="K150" s="114" t="s">
        <v>1416</v>
      </c>
      <c r="L150" s="115" t="s">
        <v>69</v>
      </c>
      <c r="M150" s="107" t="s">
        <v>31</v>
      </c>
    </row>
    <row r="151" spans="1:13" s="116" customFormat="1" ht="108.75" customHeight="1">
      <c r="A151" s="105" t="str">
        <f t="shared" si="82"/>
        <v>24EB0014PERFORMANCE BOND</v>
      </c>
      <c r="B151" s="106">
        <v>125</v>
      </c>
      <c r="C151" s="119" t="s">
        <v>1413</v>
      </c>
      <c r="D151" s="108" t="s">
        <v>1414</v>
      </c>
      <c r="E151" s="109" t="s">
        <v>1415</v>
      </c>
      <c r="F151" s="110">
        <v>13252918</v>
      </c>
      <c r="G151" s="111">
        <v>45316</v>
      </c>
      <c r="H151" s="111">
        <v>45316</v>
      </c>
      <c r="I151" s="111">
        <v>46047</v>
      </c>
      <c r="J151" s="113" t="s">
        <v>27</v>
      </c>
      <c r="K151" s="114" t="s">
        <v>1417</v>
      </c>
      <c r="L151" s="115" t="s">
        <v>69</v>
      </c>
      <c r="M151" s="107" t="s">
        <v>40</v>
      </c>
    </row>
    <row r="152" spans="1:13" s="116" customFormat="1" ht="82.5" customHeight="1">
      <c r="A152" s="105" t="str">
        <f t="shared" si="82"/>
        <v>24EB0042CONTRACTOR'S ALL RISK POLICY</v>
      </c>
      <c r="B152" s="106">
        <v>122</v>
      </c>
      <c r="C152" s="119" t="s">
        <v>1287</v>
      </c>
      <c r="D152" s="108" t="s">
        <v>1419</v>
      </c>
      <c r="E152" s="109" t="s">
        <v>1418</v>
      </c>
      <c r="F152" s="110">
        <v>14103595.66</v>
      </c>
      <c r="G152" s="111">
        <v>45315</v>
      </c>
      <c r="H152" s="111" t="s">
        <v>51</v>
      </c>
      <c r="I152" s="111">
        <v>45681</v>
      </c>
      <c r="J152" s="113" t="s">
        <v>30</v>
      </c>
      <c r="K152" s="114" t="s">
        <v>1420</v>
      </c>
      <c r="L152" s="115" t="s">
        <v>1421</v>
      </c>
      <c r="M152" s="107" t="s">
        <v>31</v>
      </c>
    </row>
    <row r="153" spans="1:13" s="116" customFormat="1" ht="96" customHeight="1">
      <c r="A153" s="105" t="str">
        <f t="shared" ref="A153:A176" si="83">D153&amp;M153</f>
        <v>24EB0042PERFORMANCE BOND</v>
      </c>
      <c r="B153" s="106">
        <v>57</v>
      </c>
      <c r="C153" s="119" t="s">
        <v>1287</v>
      </c>
      <c r="D153" s="108" t="s">
        <v>1419</v>
      </c>
      <c r="E153" s="109" t="s">
        <v>1418</v>
      </c>
      <c r="F153" s="110">
        <v>4231078.7</v>
      </c>
      <c r="G153" s="111">
        <v>45315</v>
      </c>
      <c r="H153" s="111">
        <v>45315</v>
      </c>
      <c r="I153" s="111">
        <v>46046</v>
      </c>
      <c r="J153" s="113" t="s">
        <v>27</v>
      </c>
      <c r="K153" s="114" t="s">
        <v>1423</v>
      </c>
      <c r="L153" s="115" t="s">
        <v>1421</v>
      </c>
      <c r="M153" s="107" t="s">
        <v>40</v>
      </c>
    </row>
    <row r="154" spans="1:13" s="116" customFormat="1" ht="96" customHeight="1">
      <c r="A154" s="105" t="str">
        <f t="shared" si="83"/>
        <v>24EB0038PERFORMANCE BOND</v>
      </c>
      <c r="B154" s="106">
        <v>49</v>
      </c>
      <c r="C154" s="119" t="s">
        <v>929</v>
      </c>
      <c r="D154" s="108" t="s">
        <v>1424</v>
      </c>
      <c r="E154" s="109" t="s">
        <v>1425</v>
      </c>
      <c r="F154" s="110">
        <v>14098759.91</v>
      </c>
      <c r="G154" s="111">
        <v>45315</v>
      </c>
      <c r="H154" s="111">
        <v>45315</v>
      </c>
      <c r="I154" s="111">
        <v>46046</v>
      </c>
      <c r="J154" s="113" t="s">
        <v>27</v>
      </c>
      <c r="K154" s="114" t="s">
        <v>1426</v>
      </c>
      <c r="L154" s="115" t="s">
        <v>1421</v>
      </c>
      <c r="M154" s="107" t="s">
        <v>40</v>
      </c>
    </row>
    <row r="155" spans="1:13" s="116" customFormat="1" ht="96" customHeight="1">
      <c r="A155" s="105" t="str">
        <f t="shared" si="83"/>
        <v>24EB0038CONTRACTOR'S ALL RISK POLICY</v>
      </c>
      <c r="B155" s="106">
        <v>57</v>
      </c>
      <c r="C155" s="119" t="s">
        <v>929</v>
      </c>
      <c r="D155" s="108" t="s">
        <v>1424</v>
      </c>
      <c r="E155" s="109" t="s">
        <v>1425</v>
      </c>
      <c r="F155" s="110">
        <v>46995866.369999997</v>
      </c>
      <c r="G155" s="111">
        <v>45315</v>
      </c>
      <c r="H155" s="111">
        <v>45315</v>
      </c>
      <c r="I155" s="111">
        <v>45681</v>
      </c>
      <c r="J155" s="113" t="s">
        <v>30</v>
      </c>
      <c r="K155" s="114" t="s">
        <v>1427</v>
      </c>
      <c r="L155" s="115" t="s">
        <v>1421</v>
      </c>
      <c r="M155" s="107" t="s">
        <v>31</v>
      </c>
    </row>
    <row r="156" spans="1:13" s="116" customFormat="1" ht="96" customHeight="1">
      <c r="A156" s="105" t="str">
        <f t="shared" si="83"/>
        <v>24EB0015CONTRACTOR'S ALL RISK POLICY</v>
      </c>
      <c r="B156" s="106">
        <v>47</v>
      </c>
      <c r="C156" s="119" t="s">
        <v>1428</v>
      </c>
      <c r="D156" s="108" t="s">
        <v>1429</v>
      </c>
      <c r="E156" s="109" t="s">
        <v>1430</v>
      </c>
      <c r="F156" s="110">
        <v>22565105.140000001</v>
      </c>
      <c r="G156" s="111">
        <v>45316</v>
      </c>
      <c r="H156" s="111">
        <v>45316</v>
      </c>
      <c r="I156" s="111">
        <v>45682</v>
      </c>
      <c r="J156" s="113" t="s">
        <v>30</v>
      </c>
      <c r="K156" s="114" t="s">
        <v>1431</v>
      </c>
      <c r="L156" s="115" t="s">
        <v>32</v>
      </c>
      <c r="M156" s="107" t="s">
        <v>31</v>
      </c>
    </row>
    <row r="157" spans="1:13" s="116" customFormat="1" ht="96" customHeight="1">
      <c r="A157" s="105" t="str">
        <f t="shared" si="83"/>
        <v>24EB0015PERFORMANCE BOND</v>
      </c>
      <c r="B157" s="106">
        <v>51</v>
      </c>
      <c r="C157" s="119" t="s">
        <v>1428</v>
      </c>
      <c r="D157" s="108" t="s">
        <v>1429</v>
      </c>
      <c r="E157" s="109" t="s">
        <v>1430</v>
      </c>
      <c r="F157" s="110">
        <v>6769531.54</v>
      </c>
      <c r="G157" s="111">
        <v>45316</v>
      </c>
      <c r="H157" s="111">
        <v>45316</v>
      </c>
      <c r="I157" s="111">
        <v>46047</v>
      </c>
      <c r="J157" s="113" t="s">
        <v>27</v>
      </c>
      <c r="K157" s="114" t="s">
        <v>1432</v>
      </c>
      <c r="L157" s="115" t="s">
        <v>32</v>
      </c>
      <c r="M157" s="107" t="s">
        <v>40</v>
      </c>
    </row>
    <row r="158" spans="1:13" s="116" customFormat="1" ht="96" customHeight="1">
      <c r="A158" s="105" t="str">
        <f t="shared" si="83"/>
        <v>24EB0012PERFORMANCE BOND</v>
      </c>
      <c r="B158" s="106">
        <v>53</v>
      </c>
      <c r="C158" s="119" t="s">
        <v>1433</v>
      </c>
      <c r="D158" s="108" t="s">
        <v>1434</v>
      </c>
      <c r="E158" s="109" t="s">
        <v>1435</v>
      </c>
      <c r="F158" s="110">
        <v>1710599.56</v>
      </c>
      <c r="G158" s="111">
        <v>45316</v>
      </c>
      <c r="H158" s="111">
        <v>45316</v>
      </c>
      <c r="I158" s="111">
        <v>46047</v>
      </c>
      <c r="J158" s="113" t="s">
        <v>27</v>
      </c>
      <c r="K158" s="114" t="s">
        <v>1436</v>
      </c>
      <c r="L158" s="115" t="s">
        <v>32</v>
      </c>
      <c r="M158" s="107" t="s">
        <v>40</v>
      </c>
    </row>
    <row r="159" spans="1:13" s="116" customFormat="1" ht="129" customHeight="1">
      <c r="A159" s="105" t="str">
        <f t="shared" si="83"/>
        <v>24EB0012CONTRACTOR'S ALL RISK POLICY</v>
      </c>
      <c r="B159" s="106">
        <v>53</v>
      </c>
      <c r="C159" s="119" t="s">
        <v>1433</v>
      </c>
      <c r="D159" s="108" t="s">
        <v>1434</v>
      </c>
      <c r="E159" s="109" t="s">
        <v>1435</v>
      </c>
      <c r="F159" s="110">
        <v>5701998.54</v>
      </c>
      <c r="G159" s="111">
        <v>45316</v>
      </c>
      <c r="H159" s="111">
        <v>45316</v>
      </c>
      <c r="I159" s="111">
        <v>45682</v>
      </c>
      <c r="J159" s="113" t="s">
        <v>30</v>
      </c>
      <c r="K159" s="114" t="s">
        <v>1437</v>
      </c>
      <c r="L159" s="115" t="s">
        <v>32</v>
      </c>
      <c r="M159" s="107" t="s">
        <v>31</v>
      </c>
    </row>
    <row r="160" spans="1:13" s="116" customFormat="1" ht="126" customHeight="1">
      <c r="A160" s="105" t="str">
        <f t="shared" ref="A160" si="84">D160&amp;M160</f>
        <v>23EB0075RETENTION BOND</v>
      </c>
      <c r="B160" s="106">
        <v>142</v>
      </c>
      <c r="C160" s="119" t="s">
        <v>1128</v>
      </c>
      <c r="D160" s="108" t="s">
        <v>1129</v>
      </c>
      <c r="E160" s="109" t="s">
        <v>1438</v>
      </c>
      <c r="F160" s="110">
        <v>979611.25</v>
      </c>
      <c r="G160" s="111">
        <v>45315</v>
      </c>
      <c r="H160" s="111">
        <v>45315</v>
      </c>
      <c r="I160" s="111">
        <v>45681</v>
      </c>
      <c r="J160" s="113" t="s">
        <v>30</v>
      </c>
      <c r="K160" s="114" t="s">
        <v>1439</v>
      </c>
      <c r="L160" s="115" t="s">
        <v>32</v>
      </c>
      <c r="M160" s="107" t="s">
        <v>33</v>
      </c>
    </row>
    <row r="161" spans="1:13" s="116" customFormat="1" ht="126" customHeight="1">
      <c r="A161" s="105" t="str">
        <f t="shared" ref="A161:A164" si="85">D161&amp;M161</f>
        <v>23EB0100RETENTION BOND</v>
      </c>
      <c r="B161" s="106">
        <v>142</v>
      </c>
      <c r="C161" s="119" t="s">
        <v>44</v>
      </c>
      <c r="D161" s="108" t="s">
        <v>1192</v>
      </c>
      <c r="E161" s="109" t="s">
        <v>1440</v>
      </c>
      <c r="F161" s="110">
        <v>185404.05</v>
      </c>
      <c r="G161" s="111">
        <v>45296</v>
      </c>
      <c r="H161" s="111">
        <v>45296</v>
      </c>
      <c r="I161" s="111">
        <v>45662</v>
      </c>
      <c r="J161" s="113" t="s">
        <v>30</v>
      </c>
      <c r="K161" s="114" t="s">
        <v>1441</v>
      </c>
      <c r="L161" s="115" t="s">
        <v>35</v>
      </c>
      <c r="M161" s="107" t="s">
        <v>33</v>
      </c>
    </row>
    <row r="162" spans="1:13" s="116" customFormat="1" ht="82.5" customHeight="1">
      <c r="A162" s="105" t="str">
        <f t="shared" si="85"/>
        <v>23EB0101RETENTION BOND</v>
      </c>
      <c r="B162" s="106">
        <v>117</v>
      </c>
      <c r="C162" s="119" t="s">
        <v>44</v>
      </c>
      <c r="D162" s="108" t="s">
        <v>1197</v>
      </c>
      <c r="E162" s="109" t="s">
        <v>1442</v>
      </c>
      <c r="F162" s="110">
        <v>213865.2</v>
      </c>
      <c r="G162" s="111">
        <v>45296</v>
      </c>
      <c r="H162" s="111">
        <v>45296</v>
      </c>
      <c r="I162" s="111">
        <v>45662</v>
      </c>
      <c r="J162" s="113" t="s">
        <v>30</v>
      </c>
      <c r="K162" s="114" t="s">
        <v>1443</v>
      </c>
      <c r="L162" s="115" t="s">
        <v>35</v>
      </c>
      <c r="M162" s="107" t="s">
        <v>33</v>
      </c>
    </row>
    <row r="163" spans="1:13" s="116" customFormat="1" ht="82.5" customHeight="1">
      <c r="A163" s="105" t="str">
        <f t="shared" si="85"/>
        <v>24EB0038ADVANCE PAYMENT BOND</v>
      </c>
      <c r="B163" s="106">
        <v>117</v>
      </c>
      <c r="C163" s="119" t="s">
        <v>929</v>
      </c>
      <c r="D163" s="108" t="s">
        <v>1424</v>
      </c>
      <c r="E163" s="109" t="s">
        <v>1425</v>
      </c>
      <c r="F163" s="110">
        <v>7049379.96</v>
      </c>
      <c r="G163" s="111">
        <v>45328</v>
      </c>
      <c r="H163" s="111">
        <v>45328</v>
      </c>
      <c r="I163" s="111">
        <v>45694</v>
      </c>
      <c r="J163" s="113" t="s">
        <v>30</v>
      </c>
      <c r="K163" s="114" t="s">
        <v>1444</v>
      </c>
      <c r="L163" s="115" t="s">
        <v>1421</v>
      </c>
      <c r="M163" s="107" t="s">
        <v>34</v>
      </c>
    </row>
    <row r="164" spans="1:13" s="116" customFormat="1" ht="82.5" customHeight="1">
      <c r="A164" s="105" t="str">
        <f t="shared" si="85"/>
        <v>24EB0012ADVANCE PAYMENT BOND</v>
      </c>
      <c r="B164" s="106">
        <v>118</v>
      </c>
      <c r="C164" s="119" t="s">
        <v>1433</v>
      </c>
      <c r="D164" s="108" t="s">
        <v>1434</v>
      </c>
      <c r="E164" s="109" t="s">
        <v>1435</v>
      </c>
      <c r="F164" s="110">
        <v>855299.78</v>
      </c>
      <c r="G164" s="111">
        <v>45328</v>
      </c>
      <c r="H164" s="111">
        <v>45328</v>
      </c>
      <c r="I164" s="111">
        <v>46059</v>
      </c>
      <c r="J164" s="113" t="s">
        <v>30</v>
      </c>
      <c r="K164" s="114" t="s">
        <v>1447</v>
      </c>
      <c r="L164" s="115" t="s">
        <v>32</v>
      </c>
      <c r="M164" s="107" t="s">
        <v>34</v>
      </c>
    </row>
    <row r="165" spans="1:13" s="116" customFormat="1" ht="82.5" customHeight="1">
      <c r="A165" s="105" t="str">
        <f t="shared" ref="A165" si="86">D165&amp;M165</f>
        <v>24EB0070PERFORMANCE BOND</v>
      </c>
      <c r="B165" s="106">
        <v>118</v>
      </c>
      <c r="C165" s="119" t="s">
        <v>75</v>
      </c>
      <c r="D165" s="108" t="s">
        <v>1448</v>
      </c>
      <c r="E165" s="109" t="s">
        <v>1449</v>
      </c>
      <c r="F165" s="110">
        <v>7196841.3899999997</v>
      </c>
      <c r="G165" s="111">
        <v>45324</v>
      </c>
      <c r="H165" s="111">
        <v>45324</v>
      </c>
      <c r="I165" s="111">
        <v>46055</v>
      </c>
      <c r="J165" s="113" t="s">
        <v>27</v>
      </c>
      <c r="K165" s="114" t="s">
        <v>1450</v>
      </c>
      <c r="L165" s="115" t="s">
        <v>1421</v>
      </c>
      <c r="M165" s="107" t="s">
        <v>40</v>
      </c>
    </row>
    <row r="166" spans="1:13" s="116" customFormat="1" ht="102" customHeight="1">
      <c r="A166" s="105" t="str">
        <f t="shared" si="83"/>
        <v>24EB0070CONTRACTOR'S ALL RISK POLICY</v>
      </c>
      <c r="B166" s="106">
        <v>156</v>
      </c>
      <c r="C166" s="119" t="s">
        <v>75</v>
      </c>
      <c r="D166" s="108" t="s">
        <v>1448</v>
      </c>
      <c r="E166" s="109" t="s">
        <v>1449</v>
      </c>
      <c r="F166" s="110">
        <v>9595788.5199999996</v>
      </c>
      <c r="G166" s="111">
        <v>45324</v>
      </c>
      <c r="H166" s="111">
        <v>45324</v>
      </c>
      <c r="I166" s="111">
        <v>45690</v>
      </c>
      <c r="J166" s="113" t="s">
        <v>30</v>
      </c>
      <c r="K166" s="114" t="s">
        <v>1451</v>
      </c>
      <c r="L166" s="115" t="s">
        <v>1421</v>
      </c>
      <c r="M166" s="107" t="s">
        <v>31</v>
      </c>
    </row>
    <row r="167" spans="1:13" s="116" customFormat="1" ht="102" customHeight="1">
      <c r="A167" s="105" t="str">
        <f t="shared" ref="A167" si="87">D167&amp;M167</f>
        <v>24EB0046PERFORMANCE BOND</v>
      </c>
      <c r="B167" s="106">
        <v>156</v>
      </c>
      <c r="C167" s="119" t="s">
        <v>847</v>
      </c>
      <c r="D167" s="108" t="s">
        <v>1452</v>
      </c>
      <c r="E167" s="109" t="s">
        <v>1453</v>
      </c>
      <c r="F167" s="110">
        <v>2838660.56</v>
      </c>
      <c r="G167" s="111">
        <v>45324</v>
      </c>
      <c r="H167" s="111">
        <v>45324</v>
      </c>
      <c r="I167" s="111">
        <v>46055</v>
      </c>
      <c r="J167" s="113" t="s">
        <v>27</v>
      </c>
      <c r="K167" s="114" t="s">
        <v>1454</v>
      </c>
      <c r="L167" s="115" t="s">
        <v>1421</v>
      </c>
      <c r="M167" s="107" t="s">
        <v>40</v>
      </c>
    </row>
    <row r="168" spans="1:13" s="116" customFormat="1" ht="102" customHeight="1">
      <c r="A168" s="105" t="str">
        <f t="shared" ref="A168" si="88">D168&amp;M168</f>
        <v>23EB0045PERFORMANCE BOND</v>
      </c>
      <c r="B168" s="106">
        <v>156</v>
      </c>
      <c r="C168" s="119" t="s">
        <v>847</v>
      </c>
      <c r="D168" s="108" t="s">
        <v>804</v>
      </c>
      <c r="E168" s="109" t="s">
        <v>1453</v>
      </c>
      <c r="F168" s="110">
        <v>1448897.5</v>
      </c>
      <c r="G168" s="111">
        <v>45316</v>
      </c>
      <c r="H168" s="111">
        <v>45316</v>
      </c>
      <c r="I168" s="111">
        <v>46047</v>
      </c>
      <c r="J168" s="113" t="s">
        <v>27</v>
      </c>
      <c r="K168" s="114" t="s">
        <v>1455</v>
      </c>
      <c r="L168" s="115" t="s">
        <v>35</v>
      </c>
      <c r="M168" s="107" t="s">
        <v>40</v>
      </c>
    </row>
    <row r="169" spans="1:13" s="116" customFormat="1" ht="102" customHeight="1">
      <c r="A169" s="105" t="str">
        <f t="shared" si="83"/>
        <v>23EB0045CONTRACTOR'S ALL RISK POLICY</v>
      </c>
      <c r="B169" s="106">
        <v>159</v>
      </c>
      <c r="C169" s="119" t="s">
        <v>847</v>
      </c>
      <c r="D169" s="108" t="s">
        <v>804</v>
      </c>
      <c r="E169" s="109" t="s">
        <v>1453</v>
      </c>
      <c r="F169" s="110">
        <v>4829657.5599999996</v>
      </c>
      <c r="G169" s="111">
        <v>45316</v>
      </c>
      <c r="H169" s="111">
        <v>45316</v>
      </c>
      <c r="I169" s="111">
        <v>45682</v>
      </c>
      <c r="J169" s="113" t="s">
        <v>30</v>
      </c>
      <c r="K169" s="114" t="s">
        <v>1456</v>
      </c>
      <c r="L169" s="115" t="s">
        <v>35</v>
      </c>
      <c r="M169" s="107" t="s">
        <v>31</v>
      </c>
    </row>
    <row r="170" spans="1:13" s="116" customFormat="1" ht="86.25" customHeight="1">
      <c r="A170" s="105" t="str">
        <f t="shared" si="83"/>
        <v>24EB0058CONTRACTOR'S ALL RISK POLICY</v>
      </c>
      <c r="B170" s="106">
        <v>129</v>
      </c>
      <c r="C170" s="119" t="s">
        <v>75</v>
      </c>
      <c r="D170" s="108" t="s">
        <v>1457</v>
      </c>
      <c r="E170" s="109" t="s">
        <v>1458</v>
      </c>
      <c r="F170" s="110">
        <v>4850536.33</v>
      </c>
      <c r="G170" s="111">
        <v>45320</v>
      </c>
      <c r="H170" s="111">
        <v>45320</v>
      </c>
      <c r="I170" s="111">
        <v>45686</v>
      </c>
      <c r="J170" s="113" t="s">
        <v>30</v>
      </c>
      <c r="K170" s="114" t="s">
        <v>1459</v>
      </c>
      <c r="L170" s="115" t="s">
        <v>35</v>
      </c>
      <c r="M170" s="107" t="s">
        <v>31</v>
      </c>
    </row>
    <row r="171" spans="1:13" s="116" customFormat="1" ht="102" customHeight="1">
      <c r="A171" s="105" t="str">
        <f t="shared" ref="A171" si="89">D171&amp;M171</f>
        <v>24EB0058PERFORMANCE BOND</v>
      </c>
      <c r="B171" s="106">
        <v>159</v>
      </c>
      <c r="C171" s="119" t="s">
        <v>75</v>
      </c>
      <c r="D171" s="108" t="s">
        <v>1457</v>
      </c>
      <c r="E171" s="109" t="s">
        <v>1458</v>
      </c>
      <c r="F171" s="110">
        <v>1455160.9</v>
      </c>
      <c r="G171" s="111">
        <v>45320</v>
      </c>
      <c r="H171" s="111">
        <v>45320</v>
      </c>
      <c r="I171" s="111">
        <v>46051</v>
      </c>
      <c r="J171" s="113" t="s">
        <v>27</v>
      </c>
      <c r="K171" s="114" t="s">
        <v>1460</v>
      </c>
      <c r="L171" s="115" t="s">
        <v>35</v>
      </c>
      <c r="M171" s="107" t="s">
        <v>40</v>
      </c>
    </row>
    <row r="172" spans="1:13" s="116" customFormat="1" ht="102" customHeight="1">
      <c r="A172" s="105" t="str">
        <f t="shared" si="83"/>
        <v>24EB0010-R1PERFORMANCE BOND</v>
      </c>
      <c r="B172" s="106">
        <v>162</v>
      </c>
      <c r="C172" s="119" t="s">
        <v>75</v>
      </c>
      <c r="D172" s="108" t="s">
        <v>1461</v>
      </c>
      <c r="E172" s="109" t="s">
        <v>1462</v>
      </c>
      <c r="F172" s="110">
        <v>7203000</v>
      </c>
      <c r="G172" s="111">
        <v>45320</v>
      </c>
      <c r="H172" s="111">
        <v>45320</v>
      </c>
      <c r="I172" s="111">
        <v>46051</v>
      </c>
      <c r="J172" s="113" t="s">
        <v>27</v>
      </c>
      <c r="K172" s="114" t="s">
        <v>1463</v>
      </c>
      <c r="L172" s="115" t="s">
        <v>35</v>
      </c>
      <c r="M172" s="107" t="s">
        <v>40</v>
      </c>
    </row>
    <row r="173" spans="1:13" s="116" customFormat="1" ht="102" customHeight="1">
      <c r="A173" s="105" t="str">
        <f t="shared" ref="A173" si="90">D173&amp;M173</f>
        <v>24EB0010-R1CONTRACTOR'S ALL RISK POLICY</v>
      </c>
      <c r="B173" s="106">
        <v>162</v>
      </c>
      <c r="C173" s="119" t="s">
        <v>75</v>
      </c>
      <c r="D173" s="108" t="s">
        <v>1461</v>
      </c>
      <c r="E173" s="109" t="s">
        <v>1462</v>
      </c>
      <c r="F173" s="110">
        <v>24010000</v>
      </c>
      <c r="G173" s="111">
        <v>45320</v>
      </c>
      <c r="H173" s="111">
        <v>45320</v>
      </c>
      <c r="I173" s="111">
        <v>45686</v>
      </c>
      <c r="J173" s="113" t="s">
        <v>27</v>
      </c>
      <c r="K173" s="114" t="s">
        <v>1464</v>
      </c>
      <c r="L173" s="115" t="s">
        <v>35</v>
      </c>
      <c r="M173" s="107" t="s">
        <v>31</v>
      </c>
    </row>
    <row r="174" spans="1:13" s="116" customFormat="1" ht="102" customHeight="1">
      <c r="A174" s="105" t="str">
        <f t="shared" si="83"/>
        <v>23EB0033WARRANTY BOND</v>
      </c>
      <c r="B174" s="106">
        <v>164</v>
      </c>
      <c r="C174" s="119" t="s">
        <v>847</v>
      </c>
      <c r="D174" s="108" t="s">
        <v>870</v>
      </c>
      <c r="E174" s="109" t="s">
        <v>1465</v>
      </c>
      <c r="F174" s="110">
        <v>13523442.869999999</v>
      </c>
      <c r="G174" s="111">
        <v>45215</v>
      </c>
      <c r="H174" s="111">
        <v>45215</v>
      </c>
      <c r="I174" s="111">
        <v>45581</v>
      </c>
      <c r="J174" s="113" t="s">
        <v>30</v>
      </c>
      <c r="K174" s="114" t="s">
        <v>1466</v>
      </c>
      <c r="L174" s="115" t="s">
        <v>69</v>
      </c>
      <c r="M174" s="107" t="s">
        <v>37</v>
      </c>
    </row>
    <row r="175" spans="1:13" s="116" customFormat="1" ht="102" customHeight="1">
      <c r="A175" s="105" t="str">
        <f t="shared" ref="A175" si="91">D175&amp;M175</f>
        <v>24EB0022ADVANCE PAYMENT BOND</v>
      </c>
      <c r="B175" s="106">
        <v>164</v>
      </c>
      <c r="C175" s="119" t="s">
        <v>44</v>
      </c>
      <c r="D175" s="108" t="s">
        <v>1370</v>
      </c>
      <c r="E175" s="109" t="s">
        <v>1371</v>
      </c>
      <c r="F175" s="110">
        <v>863628.36</v>
      </c>
      <c r="G175" s="111">
        <v>45328</v>
      </c>
      <c r="H175" s="111">
        <v>45328</v>
      </c>
      <c r="I175" s="111">
        <v>45694</v>
      </c>
      <c r="J175" s="113" t="s">
        <v>30</v>
      </c>
      <c r="K175" s="114" t="s">
        <v>1467</v>
      </c>
      <c r="L175" s="115" t="s">
        <v>69</v>
      </c>
      <c r="M175" s="107" t="s">
        <v>34</v>
      </c>
    </row>
    <row r="176" spans="1:13" s="116" customFormat="1" ht="102" customHeight="1">
      <c r="A176" s="105" t="str">
        <f t="shared" si="83"/>
        <v>24EB0014ADVANCE PAYMENT BOND</v>
      </c>
      <c r="B176" s="106">
        <v>166</v>
      </c>
      <c r="C176" s="119" t="s">
        <v>1413</v>
      </c>
      <c r="D176" s="108" t="s">
        <v>1414</v>
      </c>
      <c r="E176" s="109" t="s">
        <v>1415</v>
      </c>
      <c r="F176" s="110">
        <v>6626459</v>
      </c>
      <c r="G176" s="111">
        <v>45328</v>
      </c>
      <c r="H176" s="111">
        <v>45328</v>
      </c>
      <c r="I176" s="111">
        <v>45694</v>
      </c>
      <c r="J176" s="113" t="s">
        <v>30</v>
      </c>
      <c r="K176" s="114" t="s">
        <v>1468</v>
      </c>
      <c r="L176" s="115" t="s">
        <v>69</v>
      </c>
      <c r="M176" s="107" t="s">
        <v>34</v>
      </c>
    </row>
    <row r="177" spans="1:13" s="116" customFormat="1" ht="102" customHeight="1">
      <c r="A177" s="105" t="str">
        <f t="shared" ref="A177" si="92">D177&amp;M177</f>
        <v>24EB0017ADVANCE PAYMENT BOND</v>
      </c>
      <c r="B177" s="106">
        <v>166</v>
      </c>
      <c r="C177" s="119" t="s">
        <v>68</v>
      </c>
      <c r="D177" s="108" t="s">
        <v>1409</v>
      </c>
      <c r="E177" s="109" t="s">
        <v>1410</v>
      </c>
      <c r="F177" s="110">
        <v>3367663.14</v>
      </c>
      <c r="G177" s="111">
        <v>45328</v>
      </c>
      <c r="H177" s="111">
        <v>45328</v>
      </c>
      <c r="I177" s="111">
        <v>45694</v>
      </c>
      <c r="J177" s="113" t="s">
        <v>30</v>
      </c>
      <c r="K177" s="114" t="s">
        <v>1469</v>
      </c>
      <c r="L177" s="115" t="s">
        <v>69</v>
      </c>
      <c r="M177" s="107" t="s">
        <v>34</v>
      </c>
    </row>
    <row r="178" spans="1:13" s="116" customFormat="1" ht="102" customHeight="1">
      <c r="A178" s="105" t="str">
        <f t="shared" ref="A178:A204" si="93">D178&amp;M178</f>
        <v>24EB0054ADVANCE PAYMENT BOND</v>
      </c>
      <c r="B178" s="106">
        <v>168</v>
      </c>
      <c r="C178" s="119" t="s">
        <v>44</v>
      </c>
      <c r="D178" s="108" t="s">
        <v>1374</v>
      </c>
      <c r="E178" s="109" t="s">
        <v>1375</v>
      </c>
      <c r="F178" s="110">
        <v>717810.55</v>
      </c>
      <c r="G178" s="111">
        <v>45328</v>
      </c>
      <c r="H178" s="111">
        <v>45328</v>
      </c>
      <c r="I178" s="111">
        <v>45694</v>
      </c>
      <c r="J178" s="113" t="s">
        <v>30</v>
      </c>
      <c r="K178" s="114" t="s">
        <v>1470</v>
      </c>
      <c r="L178" s="115" t="s">
        <v>69</v>
      </c>
      <c r="M178" s="107" t="s">
        <v>34</v>
      </c>
    </row>
    <row r="179" spans="1:13" s="116" customFormat="1" ht="102" customHeight="1">
      <c r="A179" s="105" t="str">
        <f t="shared" ref="A179" si="94">D179&amp;M179</f>
        <v>24EB0044ADVANCE PAYMENT BOND</v>
      </c>
      <c r="B179" s="106">
        <v>168</v>
      </c>
      <c r="C179" s="119" t="s">
        <v>44</v>
      </c>
      <c r="D179" s="108" t="s">
        <v>1381</v>
      </c>
      <c r="E179" s="109" t="s">
        <v>1382</v>
      </c>
      <c r="F179" s="110">
        <v>2175600.36</v>
      </c>
      <c r="G179" s="111">
        <v>45328</v>
      </c>
      <c r="H179" s="111">
        <v>45328</v>
      </c>
      <c r="I179" s="111">
        <v>45694</v>
      </c>
      <c r="J179" s="113" t="s">
        <v>30</v>
      </c>
      <c r="K179" s="114" t="s">
        <v>1471</v>
      </c>
      <c r="L179" s="115" t="s">
        <v>69</v>
      </c>
      <c r="M179" s="107" t="s">
        <v>34</v>
      </c>
    </row>
    <row r="180" spans="1:13" s="116" customFormat="1" ht="102" customHeight="1">
      <c r="A180" s="105" t="str">
        <f t="shared" si="93"/>
        <v>24EB0036ADVANCE PAYMENT BOND</v>
      </c>
      <c r="B180" s="106">
        <v>170</v>
      </c>
      <c r="C180" s="119" t="s">
        <v>44</v>
      </c>
      <c r="D180" s="108" t="s">
        <v>1398</v>
      </c>
      <c r="E180" s="109" t="s">
        <v>1397</v>
      </c>
      <c r="F180" s="110">
        <v>2820943.48</v>
      </c>
      <c r="G180" s="111">
        <v>45328</v>
      </c>
      <c r="H180" s="111">
        <v>45328</v>
      </c>
      <c r="I180" s="111">
        <v>45694</v>
      </c>
      <c r="J180" s="113" t="s">
        <v>30</v>
      </c>
      <c r="K180" s="114" t="s">
        <v>1472</v>
      </c>
      <c r="L180" s="115" t="s">
        <v>69</v>
      </c>
      <c r="M180" s="107" t="s">
        <v>34</v>
      </c>
    </row>
    <row r="181" spans="1:13" s="120" customFormat="1" ht="102" customHeight="1">
      <c r="A181" s="105" t="str">
        <f t="shared" si="93"/>
        <v>24EB0050ADVANCE PAYMENT BOND</v>
      </c>
      <c r="B181" s="106">
        <v>171</v>
      </c>
      <c r="C181" s="119" t="s">
        <v>1287</v>
      </c>
      <c r="D181" s="108" t="s">
        <v>1378</v>
      </c>
      <c r="E181" s="109" t="s">
        <v>1379</v>
      </c>
      <c r="F181" s="110">
        <v>727617.79</v>
      </c>
      <c r="G181" s="111">
        <v>45328</v>
      </c>
      <c r="H181" s="111">
        <v>45328</v>
      </c>
      <c r="I181" s="111">
        <v>45694</v>
      </c>
      <c r="J181" s="113" t="s">
        <v>30</v>
      </c>
      <c r="K181" s="114" t="s">
        <v>1473</v>
      </c>
      <c r="L181" s="115" t="s">
        <v>69</v>
      </c>
      <c r="M181" s="107" t="s">
        <v>34</v>
      </c>
    </row>
    <row r="182" spans="1:13" s="120" customFormat="1" ht="102" customHeight="1">
      <c r="A182" s="105" t="str">
        <f t="shared" ref="A182" si="95">D182&amp;M182</f>
        <v>24EB0027ADVANCE PAYMENT BOND</v>
      </c>
      <c r="B182" s="106">
        <v>171</v>
      </c>
      <c r="C182" s="119" t="s">
        <v>1405</v>
      </c>
      <c r="D182" s="108" t="s">
        <v>1407</v>
      </c>
      <c r="E182" s="109" t="s">
        <v>1404</v>
      </c>
      <c r="F182" s="110">
        <v>3583050</v>
      </c>
      <c r="G182" s="111">
        <v>45328</v>
      </c>
      <c r="H182" s="111">
        <v>45328</v>
      </c>
      <c r="I182" s="111">
        <v>45694</v>
      </c>
      <c r="J182" s="113" t="s">
        <v>30</v>
      </c>
      <c r="K182" s="114" t="s">
        <v>1474</v>
      </c>
      <c r="L182" s="115" t="s">
        <v>69</v>
      </c>
      <c r="M182" s="107" t="s">
        <v>34</v>
      </c>
    </row>
    <row r="183" spans="1:13" s="120" customFormat="1" ht="102" customHeight="1">
      <c r="A183" s="105" t="str">
        <f t="shared" si="93"/>
        <v>24EB0051-R1ADVANCE PAYMENT BOND</v>
      </c>
      <c r="B183" s="106">
        <v>173</v>
      </c>
      <c r="C183" s="119" t="s">
        <v>453</v>
      </c>
      <c r="D183" s="108" t="s">
        <v>1366</v>
      </c>
      <c r="E183" s="109" t="s">
        <v>1367</v>
      </c>
      <c r="F183" s="110">
        <v>735336.14</v>
      </c>
      <c r="G183" s="111">
        <v>45328</v>
      </c>
      <c r="H183" s="111">
        <v>45328</v>
      </c>
      <c r="I183" s="111">
        <v>45694</v>
      </c>
      <c r="J183" s="113" t="s">
        <v>30</v>
      </c>
      <c r="K183" s="114" t="s">
        <v>1474</v>
      </c>
      <c r="L183" s="115" t="s">
        <v>69</v>
      </c>
      <c r="M183" s="107" t="s">
        <v>34</v>
      </c>
    </row>
    <row r="184" spans="1:13" s="120" customFormat="1" ht="102" customHeight="1">
      <c r="A184" s="105" t="str">
        <f t="shared" ref="A184" si="96">D184&amp;M184</f>
        <v>24EB0035ADVANCE PAYMENT BOND</v>
      </c>
      <c r="B184" s="106">
        <v>173</v>
      </c>
      <c r="C184" s="119" t="s">
        <v>44</v>
      </c>
      <c r="D184" s="108" t="s">
        <v>1401</v>
      </c>
      <c r="E184" s="109" t="s">
        <v>805</v>
      </c>
      <c r="F184" s="110">
        <v>2822050.22</v>
      </c>
      <c r="G184" s="111">
        <v>45328</v>
      </c>
      <c r="H184" s="111">
        <v>45328</v>
      </c>
      <c r="I184" s="111">
        <v>45694</v>
      </c>
      <c r="J184" s="113" t="s">
        <v>30</v>
      </c>
      <c r="K184" s="114" t="s">
        <v>1475</v>
      </c>
      <c r="L184" s="115" t="s">
        <v>69</v>
      </c>
      <c r="M184" s="107" t="s">
        <v>34</v>
      </c>
    </row>
    <row r="185" spans="1:13" s="120" customFormat="1" ht="102" customHeight="1">
      <c r="A185" s="105" t="str">
        <f t="shared" ref="A185" si="97">D185&amp;M185</f>
        <v>24EB0039ADVANCE PAYMENT BOND</v>
      </c>
      <c r="B185" s="106">
        <v>173</v>
      </c>
      <c r="C185" s="119" t="s">
        <v>1287</v>
      </c>
      <c r="D185" s="108" t="s">
        <v>1386</v>
      </c>
      <c r="E185" s="109" t="s">
        <v>1385</v>
      </c>
      <c r="F185" s="110">
        <v>2160357.66</v>
      </c>
      <c r="G185" s="111">
        <v>45328</v>
      </c>
      <c r="H185" s="111">
        <v>45328</v>
      </c>
      <c r="I185" s="111">
        <v>45694</v>
      </c>
      <c r="J185" s="113" t="s">
        <v>30</v>
      </c>
      <c r="K185" s="114" t="s">
        <v>1476</v>
      </c>
      <c r="L185" s="115" t="s">
        <v>69</v>
      </c>
      <c r="M185" s="107" t="s">
        <v>34</v>
      </c>
    </row>
    <row r="186" spans="1:13" s="120" customFormat="1" ht="102" customHeight="1">
      <c r="A186" s="105" t="str">
        <f t="shared" ref="A186" si="98">D186&amp;M186</f>
        <v>24EB0042ADVANCE PAYMENT BOND</v>
      </c>
      <c r="B186" s="106">
        <v>173</v>
      </c>
      <c r="C186" s="119" t="s">
        <v>1287</v>
      </c>
      <c r="D186" s="108" t="s">
        <v>1419</v>
      </c>
      <c r="E186" s="109" t="s">
        <v>1418</v>
      </c>
      <c r="F186" s="110">
        <v>2115539.35</v>
      </c>
      <c r="G186" s="111">
        <v>45328</v>
      </c>
      <c r="H186" s="111">
        <v>45328</v>
      </c>
      <c r="I186" s="111">
        <v>45694</v>
      </c>
      <c r="J186" s="113" t="s">
        <v>30</v>
      </c>
      <c r="K186" s="114" t="s">
        <v>121</v>
      </c>
      <c r="L186" s="115" t="s">
        <v>1421</v>
      </c>
      <c r="M186" s="107" t="s">
        <v>34</v>
      </c>
    </row>
    <row r="187" spans="1:13" s="120" customFormat="1" ht="102" customHeight="1">
      <c r="A187" s="105" t="str">
        <f t="shared" ref="A187" si="99">D187&amp;M187</f>
        <v>24EB0052ADVANCE PAYMENT BOND</v>
      </c>
      <c r="B187" s="106">
        <v>173</v>
      </c>
      <c r="C187" s="119" t="s">
        <v>1340</v>
      </c>
      <c r="D187" s="108" t="s">
        <v>1349</v>
      </c>
      <c r="E187" s="109" t="s">
        <v>1350</v>
      </c>
      <c r="F187" s="110">
        <v>719613.05</v>
      </c>
      <c r="G187" s="111">
        <v>45328</v>
      </c>
      <c r="H187" s="111">
        <v>45328</v>
      </c>
      <c r="I187" s="111">
        <v>45694</v>
      </c>
      <c r="J187" s="113" t="s">
        <v>30</v>
      </c>
      <c r="K187" s="114" t="s">
        <v>1477</v>
      </c>
      <c r="L187" s="115" t="s">
        <v>32</v>
      </c>
      <c r="M187" s="107" t="s">
        <v>34</v>
      </c>
    </row>
    <row r="188" spans="1:13" s="120" customFormat="1" ht="102" customHeight="1">
      <c r="A188" s="105" t="str">
        <f t="shared" ref="A188" si="100">D188&amp;M188</f>
        <v>24EB0028ADVANCE PAYMENT BOND</v>
      </c>
      <c r="B188" s="106">
        <v>173</v>
      </c>
      <c r="C188" s="119" t="s">
        <v>1340</v>
      </c>
      <c r="D188" s="108" t="s">
        <v>1345</v>
      </c>
      <c r="E188" s="109" t="s">
        <v>1346</v>
      </c>
      <c r="F188" s="110">
        <v>3601349.9</v>
      </c>
      <c r="G188" s="111">
        <v>45328</v>
      </c>
      <c r="H188" s="111">
        <v>45328</v>
      </c>
      <c r="I188" s="111">
        <v>45694</v>
      </c>
      <c r="J188" s="113" t="s">
        <v>30</v>
      </c>
      <c r="K188" s="114" t="s">
        <v>1478</v>
      </c>
      <c r="L188" s="115" t="s">
        <v>32</v>
      </c>
      <c r="M188" s="107" t="s">
        <v>34</v>
      </c>
    </row>
    <row r="189" spans="1:13" s="120" customFormat="1" ht="102" customHeight="1">
      <c r="A189" s="105" t="str">
        <f t="shared" ref="A189" si="101">D189&amp;M189</f>
        <v>24EB0021ADVANCE PAYMENT BOND</v>
      </c>
      <c r="B189" s="106">
        <v>173</v>
      </c>
      <c r="C189" s="119" t="s">
        <v>36</v>
      </c>
      <c r="D189" s="108" t="s">
        <v>1357</v>
      </c>
      <c r="E189" s="109" t="s">
        <v>1358</v>
      </c>
      <c r="F189" s="110">
        <v>163952.93</v>
      </c>
      <c r="G189" s="111">
        <v>45328</v>
      </c>
      <c r="H189" s="111">
        <v>45328</v>
      </c>
      <c r="I189" s="111">
        <v>45694</v>
      </c>
      <c r="J189" s="113" t="s">
        <v>30</v>
      </c>
      <c r="K189" s="114" t="s">
        <v>1479</v>
      </c>
      <c r="L189" s="115" t="s">
        <v>32</v>
      </c>
      <c r="M189" s="107" t="s">
        <v>34</v>
      </c>
    </row>
    <row r="190" spans="1:13" s="120" customFormat="1" ht="102" customHeight="1">
      <c r="A190" s="105" t="str">
        <f t="shared" ref="A190" si="102">D190&amp;M190</f>
        <v>24EB0057ADVANCE PAYMENT BOND</v>
      </c>
      <c r="B190" s="106">
        <v>173</v>
      </c>
      <c r="C190" s="119" t="s">
        <v>1340</v>
      </c>
      <c r="D190" s="108" t="s">
        <v>1341</v>
      </c>
      <c r="E190" s="109" t="s">
        <v>1342</v>
      </c>
      <c r="F190" s="110">
        <v>719246.93</v>
      </c>
      <c r="G190" s="111">
        <v>45328</v>
      </c>
      <c r="H190" s="111">
        <v>45328</v>
      </c>
      <c r="I190" s="111">
        <v>45694</v>
      </c>
      <c r="J190" s="113" t="s">
        <v>30</v>
      </c>
      <c r="K190" s="114" t="s">
        <v>1480</v>
      </c>
      <c r="L190" s="115" t="s">
        <v>32</v>
      </c>
      <c r="M190" s="107" t="s">
        <v>34</v>
      </c>
    </row>
    <row r="191" spans="1:13" s="120" customFormat="1" ht="102" customHeight="1">
      <c r="A191" s="105" t="str">
        <f t="shared" ref="A191" si="103">D191&amp;M191</f>
        <v>24EB0018ADVANCE PAYMENT BOND</v>
      </c>
      <c r="B191" s="106">
        <v>173</v>
      </c>
      <c r="C191" s="119" t="s">
        <v>36</v>
      </c>
      <c r="D191" s="108" t="s">
        <v>1356</v>
      </c>
      <c r="E191" s="109" t="s">
        <v>1353</v>
      </c>
      <c r="F191" s="110">
        <v>292444.34000000003</v>
      </c>
      <c r="G191" s="111">
        <v>45328</v>
      </c>
      <c r="H191" s="111">
        <v>45328</v>
      </c>
      <c r="I191" s="111">
        <v>45694</v>
      </c>
      <c r="J191" s="113" t="s">
        <v>30</v>
      </c>
      <c r="K191" s="114" t="s">
        <v>1481</v>
      </c>
      <c r="L191" s="115" t="s">
        <v>32</v>
      </c>
      <c r="M191" s="107" t="s">
        <v>34</v>
      </c>
    </row>
    <row r="192" spans="1:13" s="120" customFormat="1" ht="102" customHeight="1">
      <c r="A192" s="105" t="str">
        <f t="shared" ref="A192" si="104">D192&amp;M192</f>
        <v>24EB0026ADVANCE PAYMENT BOND</v>
      </c>
      <c r="B192" s="106">
        <v>173</v>
      </c>
      <c r="C192" s="119" t="s">
        <v>1361</v>
      </c>
      <c r="D192" s="108" t="s">
        <v>1362</v>
      </c>
      <c r="E192" s="109" t="s">
        <v>1363</v>
      </c>
      <c r="F192" s="110">
        <v>3594119.54</v>
      </c>
      <c r="G192" s="111">
        <v>45328</v>
      </c>
      <c r="H192" s="111">
        <v>45328</v>
      </c>
      <c r="I192" s="111">
        <v>45694</v>
      </c>
      <c r="J192" s="113" t="s">
        <v>30</v>
      </c>
      <c r="K192" s="114" t="s">
        <v>1482</v>
      </c>
      <c r="L192" s="115" t="s">
        <v>32</v>
      </c>
      <c r="M192" s="107" t="s">
        <v>34</v>
      </c>
    </row>
    <row r="193" spans="1:13" s="120" customFormat="1" ht="102" customHeight="1">
      <c r="A193" s="105" t="str">
        <f t="shared" ref="A193" si="105">D193&amp;M193</f>
        <v>24EB0015ADVANCE PAYMENT BOND</v>
      </c>
      <c r="B193" s="106">
        <v>173</v>
      </c>
      <c r="C193" s="119" t="s">
        <v>1428</v>
      </c>
      <c r="D193" s="108" t="s">
        <v>1429</v>
      </c>
      <c r="E193" s="109" t="s">
        <v>1430</v>
      </c>
      <c r="F193" s="110">
        <v>3384765.77</v>
      </c>
      <c r="G193" s="111">
        <v>45328</v>
      </c>
      <c r="H193" s="111">
        <v>45328</v>
      </c>
      <c r="I193" s="111">
        <v>45694</v>
      </c>
      <c r="J193" s="113" t="s">
        <v>30</v>
      </c>
      <c r="K193" s="114" t="s">
        <v>1483</v>
      </c>
      <c r="L193" s="115" t="s">
        <v>32</v>
      </c>
      <c r="M193" s="107" t="s">
        <v>34</v>
      </c>
    </row>
    <row r="194" spans="1:13" s="120" customFormat="1" ht="102" customHeight="1">
      <c r="A194" s="105" t="str">
        <f t="shared" ref="A194" si="106">D194&amp;M194</f>
        <v>24EB0040PERFORMANCE BOND</v>
      </c>
      <c r="B194" s="170">
        <v>173</v>
      </c>
      <c r="C194" s="119" t="s">
        <v>43</v>
      </c>
      <c r="D194" s="108" t="s">
        <v>1484</v>
      </c>
      <c r="E194" s="109" t="s">
        <v>1485</v>
      </c>
      <c r="F194" s="110">
        <v>4276257.4800000004</v>
      </c>
      <c r="G194" s="111">
        <v>45320</v>
      </c>
      <c r="H194" s="111">
        <v>45320</v>
      </c>
      <c r="I194" s="111">
        <v>46051</v>
      </c>
      <c r="J194" s="171" t="s">
        <v>27</v>
      </c>
      <c r="K194" s="114" t="s">
        <v>1486</v>
      </c>
      <c r="L194" s="115" t="s">
        <v>35</v>
      </c>
      <c r="M194" s="107" t="s">
        <v>40</v>
      </c>
    </row>
    <row r="195" spans="1:13" s="120" customFormat="1" ht="79.5" customHeight="1">
      <c r="A195" s="105" t="str">
        <f t="shared" si="93"/>
        <v>24EB0040CONTRACTOR'S ALL RISK POLICY</v>
      </c>
      <c r="B195" s="170">
        <v>185</v>
      </c>
      <c r="C195" s="119" t="s">
        <v>43</v>
      </c>
      <c r="D195" s="108" t="s">
        <v>1484</v>
      </c>
      <c r="E195" s="109" t="s">
        <v>1485</v>
      </c>
      <c r="F195" s="110">
        <v>4988967.0599999996</v>
      </c>
      <c r="G195" s="111">
        <v>45320</v>
      </c>
      <c r="H195" s="111">
        <v>45320</v>
      </c>
      <c r="I195" s="111">
        <v>45686</v>
      </c>
      <c r="J195" s="171" t="s">
        <v>30</v>
      </c>
      <c r="K195" s="114" t="s">
        <v>1487</v>
      </c>
      <c r="L195" s="115" t="s">
        <v>35</v>
      </c>
      <c r="M195" s="107" t="s">
        <v>31</v>
      </c>
    </row>
    <row r="196" spans="1:13" s="116" customFormat="1" ht="79.5" customHeight="1">
      <c r="A196" s="105" t="str">
        <f t="shared" si="93"/>
        <v>24EB0043PERFORMANCE BOND</v>
      </c>
      <c r="B196" s="106">
        <v>186</v>
      </c>
      <c r="C196" s="119" t="s">
        <v>1488</v>
      </c>
      <c r="D196" s="108" t="s">
        <v>1490</v>
      </c>
      <c r="E196" s="109" t="s">
        <v>1489</v>
      </c>
      <c r="F196" s="110">
        <v>4366010.63</v>
      </c>
      <c r="G196" s="111">
        <v>45320</v>
      </c>
      <c r="H196" s="111">
        <v>45320</v>
      </c>
      <c r="I196" s="111">
        <v>46051</v>
      </c>
      <c r="J196" s="171" t="s">
        <v>27</v>
      </c>
      <c r="K196" s="114" t="s">
        <v>1491</v>
      </c>
      <c r="L196" s="115" t="s">
        <v>35</v>
      </c>
      <c r="M196" s="107" t="s">
        <v>40</v>
      </c>
    </row>
    <row r="197" spans="1:13" s="116" customFormat="1" ht="79.5" customHeight="1">
      <c r="A197" s="105" t="str">
        <f t="shared" ref="A197" si="107">D197&amp;M197</f>
        <v>24EB0043CONTRACTOR'S ALL RISK POLICY</v>
      </c>
      <c r="B197" s="106">
        <v>186</v>
      </c>
      <c r="C197" s="119" t="s">
        <v>1488</v>
      </c>
      <c r="D197" s="108" t="s">
        <v>1490</v>
      </c>
      <c r="E197" s="109" t="s">
        <v>1489</v>
      </c>
      <c r="F197" s="110">
        <v>14553368.779999999</v>
      </c>
      <c r="G197" s="111">
        <v>45320</v>
      </c>
      <c r="H197" s="111">
        <v>45320</v>
      </c>
      <c r="I197" s="111">
        <v>45686</v>
      </c>
      <c r="J197" s="171" t="s">
        <v>30</v>
      </c>
      <c r="K197" s="114" t="s">
        <v>1492</v>
      </c>
      <c r="L197" s="115" t="s">
        <v>35</v>
      </c>
      <c r="M197" s="107" t="s">
        <v>31</v>
      </c>
    </row>
    <row r="198" spans="1:13" s="116" customFormat="1" ht="135.75" customHeight="1">
      <c r="A198" s="105" t="str">
        <f t="shared" si="93"/>
        <v>24EB0002PERFORMANCE BOND</v>
      </c>
      <c r="B198" s="106">
        <v>188</v>
      </c>
      <c r="C198" s="119" t="s">
        <v>75</v>
      </c>
      <c r="D198" s="108" t="s">
        <v>1493</v>
      </c>
      <c r="E198" s="109" t="s">
        <v>1494</v>
      </c>
      <c r="F198" s="110">
        <v>2002555.22</v>
      </c>
      <c r="G198" s="111">
        <v>45320</v>
      </c>
      <c r="H198" s="111">
        <v>45320</v>
      </c>
      <c r="I198" s="111">
        <v>46051</v>
      </c>
      <c r="J198" s="171" t="s">
        <v>27</v>
      </c>
      <c r="K198" s="114" t="s">
        <v>1495</v>
      </c>
      <c r="L198" s="115" t="s">
        <v>35</v>
      </c>
      <c r="M198" s="107" t="s">
        <v>40</v>
      </c>
    </row>
    <row r="199" spans="1:13" s="116" customFormat="1" ht="135.75" customHeight="1">
      <c r="A199" s="105" t="str">
        <f t="shared" ref="A199" si="108">D199&amp;M199</f>
        <v>24EB0002CONTRACTOR'S ALL RISK POLICY</v>
      </c>
      <c r="B199" s="106">
        <v>188</v>
      </c>
      <c r="C199" s="119" t="s">
        <v>75</v>
      </c>
      <c r="D199" s="108" t="s">
        <v>1493</v>
      </c>
      <c r="E199" s="109" t="s">
        <v>1494</v>
      </c>
      <c r="F199" s="110">
        <v>2002555.22</v>
      </c>
      <c r="G199" s="111">
        <v>45320</v>
      </c>
      <c r="H199" s="111">
        <v>45320</v>
      </c>
      <c r="I199" s="111">
        <v>45686</v>
      </c>
      <c r="J199" s="171" t="s">
        <v>30</v>
      </c>
      <c r="K199" s="114" t="s">
        <v>1496</v>
      </c>
      <c r="L199" s="115" t="s">
        <v>35</v>
      </c>
      <c r="M199" s="107" t="s">
        <v>31</v>
      </c>
    </row>
    <row r="200" spans="1:13" s="116" customFormat="1" ht="135.75" customHeight="1">
      <c r="A200" s="105" t="str">
        <f t="shared" si="93"/>
        <v>24EB0041PERFORMANCE BOND</v>
      </c>
      <c r="B200" s="106">
        <v>190</v>
      </c>
      <c r="C200" s="119" t="s">
        <v>75</v>
      </c>
      <c r="D200" s="108" t="s">
        <v>1497</v>
      </c>
      <c r="E200" s="109" t="s">
        <v>1498</v>
      </c>
      <c r="F200" s="110">
        <v>4255515.55</v>
      </c>
      <c r="G200" s="111">
        <v>45320</v>
      </c>
      <c r="H200" s="111">
        <v>45320</v>
      </c>
      <c r="I200" s="111">
        <v>46051</v>
      </c>
      <c r="J200" s="171" t="s">
        <v>27</v>
      </c>
      <c r="K200" s="114" t="s">
        <v>1499</v>
      </c>
      <c r="L200" s="115" t="s">
        <v>35</v>
      </c>
      <c r="M200" s="107" t="s">
        <v>40</v>
      </c>
    </row>
    <row r="201" spans="1:13" s="116" customFormat="1" ht="135.75" customHeight="1">
      <c r="A201" s="105" t="str">
        <f t="shared" ref="A201" si="109">D201&amp;M201</f>
        <v>24EB0041CONTRACTOR'S ALL RISK POLICY</v>
      </c>
      <c r="B201" s="106">
        <v>190</v>
      </c>
      <c r="C201" s="119" t="s">
        <v>75</v>
      </c>
      <c r="D201" s="108" t="s">
        <v>1497</v>
      </c>
      <c r="E201" s="109" t="s">
        <v>1498</v>
      </c>
      <c r="F201" s="110">
        <v>4964768.1399999997</v>
      </c>
      <c r="G201" s="111">
        <v>45320</v>
      </c>
      <c r="H201" s="111">
        <v>45320</v>
      </c>
      <c r="I201" s="111">
        <v>45686</v>
      </c>
      <c r="J201" s="171" t="s">
        <v>30</v>
      </c>
      <c r="K201" s="114" t="s">
        <v>1500</v>
      </c>
      <c r="L201" s="115" t="s">
        <v>35</v>
      </c>
      <c r="M201" s="107" t="s">
        <v>31</v>
      </c>
    </row>
    <row r="202" spans="1:13" s="116" customFormat="1" ht="79.5" customHeight="1">
      <c r="A202" s="105" t="str">
        <f t="shared" si="93"/>
        <v>24EB0046-R1PERFORMANCE BOND</v>
      </c>
      <c r="B202" s="106">
        <v>192</v>
      </c>
      <c r="C202" s="119" t="s">
        <v>847</v>
      </c>
      <c r="D202" s="108" t="s">
        <v>1501</v>
      </c>
      <c r="E202" s="109" t="s">
        <v>1502</v>
      </c>
      <c r="F202" s="110">
        <v>2838660.56</v>
      </c>
      <c r="G202" s="111">
        <v>45324</v>
      </c>
      <c r="H202" s="111">
        <v>45324</v>
      </c>
      <c r="I202" s="111">
        <v>46055</v>
      </c>
      <c r="J202" s="113" t="s">
        <v>27</v>
      </c>
      <c r="K202" s="114" t="s">
        <v>1454</v>
      </c>
      <c r="L202" s="115" t="s">
        <v>1421</v>
      </c>
      <c r="M202" s="107" t="s">
        <v>40</v>
      </c>
    </row>
    <row r="203" spans="1:13" s="116" customFormat="1" ht="79.5" customHeight="1">
      <c r="A203" s="105" t="str">
        <f t="shared" ref="A203" si="110">D203&amp;M203</f>
        <v>24EB0046-R1CONTRACTOR'S ALL RISK POLICY</v>
      </c>
      <c r="B203" s="106">
        <v>192</v>
      </c>
      <c r="C203" s="119" t="s">
        <v>847</v>
      </c>
      <c r="D203" s="108" t="s">
        <v>1501</v>
      </c>
      <c r="E203" s="109" t="s">
        <v>1502</v>
      </c>
      <c r="F203" s="110">
        <v>9462201.8699999992</v>
      </c>
      <c r="G203" s="111">
        <v>45324</v>
      </c>
      <c r="H203" s="111">
        <v>45324</v>
      </c>
      <c r="I203" s="111">
        <v>45690</v>
      </c>
      <c r="J203" s="113" t="s">
        <v>30</v>
      </c>
      <c r="K203" s="114" t="s">
        <v>1503</v>
      </c>
      <c r="L203" s="115" t="s">
        <v>1421</v>
      </c>
      <c r="M203" s="107" t="s">
        <v>31</v>
      </c>
    </row>
    <row r="204" spans="1:13" s="116" customFormat="1" ht="79.5" customHeight="1">
      <c r="A204" s="105" t="str">
        <f t="shared" si="93"/>
        <v>23EB0105CONTRACTOR'S ALL RISK POLICY</v>
      </c>
      <c r="B204" s="106">
        <v>194</v>
      </c>
      <c r="C204" s="119" t="s">
        <v>1504</v>
      </c>
      <c r="D204" s="108" t="s">
        <v>1505</v>
      </c>
      <c r="E204" s="109" t="s">
        <v>1509</v>
      </c>
      <c r="F204" s="110">
        <v>93605775.040000007</v>
      </c>
      <c r="G204" s="111">
        <v>45323</v>
      </c>
      <c r="H204" s="111">
        <v>45323</v>
      </c>
      <c r="I204" s="111">
        <v>45689</v>
      </c>
      <c r="J204" s="113" t="s">
        <v>30</v>
      </c>
      <c r="K204" s="114" t="s">
        <v>1506</v>
      </c>
      <c r="L204" s="115" t="s">
        <v>69</v>
      </c>
      <c r="M204" s="107" t="s">
        <v>31</v>
      </c>
    </row>
    <row r="205" spans="1:13" s="116" customFormat="1" ht="79.5" customHeight="1">
      <c r="A205" s="105" t="str">
        <f t="shared" ref="A205" si="111">D205&amp;M205</f>
        <v>23EB0105PERFORMANCE BOND</v>
      </c>
      <c r="B205" s="106">
        <v>194</v>
      </c>
      <c r="C205" s="119" t="s">
        <v>1504</v>
      </c>
      <c r="D205" s="108" t="s">
        <v>1505</v>
      </c>
      <c r="E205" s="109" t="s">
        <v>1549</v>
      </c>
      <c r="F205" s="110">
        <v>28081732.510000002</v>
      </c>
      <c r="G205" s="111">
        <v>45323</v>
      </c>
      <c r="H205" s="111">
        <v>45323</v>
      </c>
      <c r="I205" s="111">
        <v>46054</v>
      </c>
      <c r="J205" s="113" t="s">
        <v>27</v>
      </c>
      <c r="K205" s="114" t="s">
        <v>1507</v>
      </c>
      <c r="L205" s="115" t="s">
        <v>69</v>
      </c>
      <c r="M205" s="107" t="s">
        <v>40</v>
      </c>
    </row>
    <row r="206" spans="1:13" s="116" customFormat="1" ht="79.5" customHeight="1">
      <c r="A206" s="105" t="str">
        <f t="shared" ref="A206:A210" si="112">D206&amp;M206</f>
        <v>23EB0106CONTRACTOR'S ALL RISK POLICY</v>
      </c>
      <c r="B206" s="106">
        <v>196</v>
      </c>
      <c r="C206" s="119" t="s">
        <v>1504</v>
      </c>
      <c r="D206" s="108" t="s">
        <v>1508</v>
      </c>
      <c r="E206" s="109" t="s">
        <v>1510</v>
      </c>
      <c r="F206" s="110">
        <v>93605071.5</v>
      </c>
      <c r="G206" s="111">
        <v>45323</v>
      </c>
      <c r="H206" s="111">
        <v>45323</v>
      </c>
      <c r="I206" s="111">
        <v>46054</v>
      </c>
      <c r="J206" s="113" t="s">
        <v>30</v>
      </c>
      <c r="K206" s="114" t="s">
        <v>1511</v>
      </c>
      <c r="L206" s="115" t="s">
        <v>69</v>
      </c>
      <c r="M206" s="107" t="s">
        <v>31</v>
      </c>
    </row>
    <row r="207" spans="1:13" s="116" customFormat="1" ht="79.5" customHeight="1">
      <c r="A207" s="105" t="str">
        <f t="shared" ref="A207" si="113">D207&amp;M207</f>
        <v>23EB0106PERFORMANCE BOND</v>
      </c>
      <c r="B207" s="106">
        <v>196</v>
      </c>
      <c r="C207" s="119" t="s">
        <v>1504</v>
      </c>
      <c r="D207" s="108" t="s">
        <v>1508</v>
      </c>
      <c r="E207" s="109" t="s">
        <v>1510</v>
      </c>
      <c r="F207" s="110">
        <v>28081521.449999999</v>
      </c>
      <c r="G207" s="111">
        <v>45323</v>
      </c>
      <c r="H207" s="111">
        <v>45323</v>
      </c>
      <c r="I207" s="111">
        <v>46054</v>
      </c>
      <c r="J207" s="113" t="s">
        <v>27</v>
      </c>
      <c r="K207" s="114" t="s">
        <v>1512</v>
      </c>
      <c r="L207" s="115" t="s">
        <v>69</v>
      </c>
      <c r="M207" s="107" t="s">
        <v>40</v>
      </c>
    </row>
    <row r="208" spans="1:13" s="116" customFormat="1" ht="79.5" customHeight="1">
      <c r="A208" s="105" t="str">
        <f>D208&amp;M208</f>
        <v>24EB0019CONTRACTOR'S ALL RISK POLICY</v>
      </c>
      <c r="B208" s="106">
        <v>198</v>
      </c>
      <c r="C208" s="119" t="s">
        <v>1516</v>
      </c>
      <c r="D208" s="108" t="s">
        <v>1513</v>
      </c>
      <c r="E208" s="109" t="s">
        <v>1514</v>
      </c>
      <c r="F208" s="110">
        <v>55615282.270000003</v>
      </c>
      <c r="G208" s="111">
        <v>45323</v>
      </c>
      <c r="H208" s="111">
        <v>45323</v>
      </c>
      <c r="I208" s="111">
        <v>45689</v>
      </c>
      <c r="J208" s="113" t="s">
        <v>30</v>
      </c>
      <c r="K208" s="114" t="s">
        <v>1515</v>
      </c>
      <c r="L208" s="115" t="s">
        <v>69</v>
      </c>
      <c r="M208" s="107" t="s">
        <v>31</v>
      </c>
    </row>
    <row r="209" spans="1:13" s="116" customFormat="1" ht="79.5" hidden="1" customHeight="1">
      <c r="A209" s="105" t="str">
        <f>D209&amp;M209</f>
        <v>23EB0082PERFORMANCE BOND</v>
      </c>
      <c r="B209" s="106">
        <v>198</v>
      </c>
      <c r="C209" s="119" t="s">
        <v>453</v>
      </c>
      <c r="D209" s="108" t="s">
        <v>1044</v>
      </c>
      <c r="E209" s="109" t="s">
        <v>1045</v>
      </c>
      <c r="F209" s="110">
        <v>2881183.78</v>
      </c>
      <c r="G209" s="111">
        <v>45002</v>
      </c>
      <c r="H209" s="111">
        <v>45002</v>
      </c>
      <c r="I209" s="111">
        <v>45368</v>
      </c>
      <c r="J209" s="113" t="s">
        <v>27</v>
      </c>
      <c r="K209" s="114" t="s">
        <v>1047</v>
      </c>
      <c r="L209" s="115" t="s">
        <v>69</v>
      </c>
      <c r="M209" s="107" t="s">
        <v>40</v>
      </c>
    </row>
    <row r="210" spans="1:13" s="116" customFormat="1" ht="81" customHeight="1">
      <c r="A210" s="105" t="str">
        <f t="shared" si="112"/>
        <v>24EB0019PERFORMANCE BOND</v>
      </c>
      <c r="B210" s="106">
        <v>200</v>
      </c>
      <c r="C210" s="119" t="s">
        <v>1516</v>
      </c>
      <c r="D210" s="108" t="s">
        <v>1513</v>
      </c>
      <c r="E210" s="109" t="s">
        <v>1514</v>
      </c>
      <c r="F210" s="110">
        <v>16684584.68</v>
      </c>
      <c r="G210" s="111">
        <v>45323</v>
      </c>
      <c r="H210" s="111">
        <v>45323</v>
      </c>
      <c r="I210" s="111">
        <v>46054</v>
      </c>
      <c r="J210" s="113" t="s">
        <v>27</v>
      </c>
      <c r="K210" s="114" t="s">
        <v>1517</v>
      </c>
      <c r="L210" s="115" t="s">
        <v>69</v>
      </c>
      <c r="M210" s="107" t="s">
        <v>40</v>
      </c>
    </row>
    <row r="211" spans="1:13" s="116" customFormat="1" ht="81" customHeight="1">
      <c r="A211" s="105" t="str">
        <f t="shared" ref="A211" si="114">D211&amp;M211</f>
        <v>24EB0074CONTRACTOR'S ALL RISK POLICY</v>
      </c>
      <c r="B211" s="106">
        <v>200</v>
      </c>
      <c r="C211" s="119" t="s">
        <v>44</v>
      </c>
      <c r="D211" s="108" t="s">
        <v>1518</v>
      </c>
      <c r="E211" s="109" t="s">
        <v>1519</v>
      </c>
      <c r="F211" s="110">
        <v>19002660.32</v>
      </c>
      <c r="G211" s="111">
        <v>45323</v>
      </c>
      <c r="H211" s="111">
        <v>45323</v>
      </c>
      <c r="I211" s="111">
        <v>45689</v>
      </c>
      <c r="J211" s="113" t="s">
        <v>30</v>
      </c>
      <c r="K211" s="114" t="s">
        <v>1520</v>
      </c>
      <c r="L211" s="115" t="s">
        <v>69</v>
      </c>
      <c r="M211" s="107" t="s">
        <v>31</v>
      </c>
    </row>
    <row r="212" spans="1:13" s="116" customFormat="1" ht="81" customHeight="1">
      <c r="A212" s="105" t="str">
        <f t="shared" ref="A212" si="115">D212&amp;M212</f>
        <v>23EB0082PERFORMANCE BOND</v>
      </c>
      <c r="B212" s="106">
        <v>200</v>
      </c>
      <c r="C212" s="119" t="s">
        <v>453</v>
      </c>
      <c r="D212" s="108" t="s">
        <v>1044</v>
      </c>
      <c r="E212" s="109" t="s">
        <v>1045</v>
      </c>
      <c r="F212" s="110">
        <v>2881183.78</v>
      </c>
      <c r="G212" s="111">
        <v>45002</v>
      </c>
      <c r="H212" s="111">
        <v>45002</v>
      </c>
      <c r="I212" s="111">
        <v>45368</v>
      </c>
      <c r="J212" s="113" t="s">
        <v>27</v>
      </c>
      <c r="K212" s="114" t="s">
        <v>1047</v>
      </c>
      <c r="L212" s="115" t="s">
        <v>69</v>
      </c>
      <c r="M212" s="107" t="s">
        <v>40</v>
      </c>
    </row>
    <row r="213" spans="1:13" s="116" customFormat="1" ht="81" customHeight="1">
      <c r="A213" s="105" t="str">
        <f t="shared" ref="A213:A215" si="116">D213&amp;M213</f>
        <v>23EB0082PERFORMANCE BOND</v>
      </c>
      <c r="B213" s="106">
        <v>200</v>
      </c>
      <c r="C213" s="119" t="s">
        <v>453</v>
      </c>
      <c r="D213" s="108" t="s">
        <v>1044</v>
      </c>
      <c r="E213" s="109" t="s">
        <v>1045</v>
      </c>
      <c r="F213" s="110">
        <v>2881183.78</v>
      </c>
      <c r="G213" s="111">
        <v>45002</v>
      </c>
      <c r="H213" s="111">
        <v>45002</v>
      </c>
      <c r="I213" s="111">
        <v>45368</v>
      </c>
      <c r="J213" s="113" t="s">
        <v>27</v>
      </c>
      <c r="K213" s="114" t="s">
        <v>1047</v>
      </c>
      <c r="L213" s="115" t="s">
        <v>69</v>
      </c>
      <c r="M213" s="107" t="s">
        <v>40</v>
      </c>
    </row>
    <row r="214" spans="1:13" s="116" customFormat="1" ht="81" customHeight="1">
      <c r="A214" s="105" t="str">
        <f t="shared" si="116"/>
        <v>23EB0082PERFORMANCE BOND</v>
      </c>
      <c r="B214" s="106">
        <v>200</v>
      </c>
      <c r="C214" s="119" t="s">
        <v>453</v>
      </c>
      <c r="D214" s="108" t="s">
        <v>1044</v>
      </c>
      <c r="E214" s="109" t="s">
        <v>1045</v>
      </c>
      <c r="F214" s="110">
        <v>2881183.78</v>
      </c>
      <c r="G214" s="111">
        <v>45002</v>
      </c>
      <c r="H214" s="111">
        <v>45002</v>
      </c>
      <c r="I214" s="111">
        <v>45368</v>
      </c>
      <c r="J214" s="113" t="s">
        <v>27</v>
      </c>
      <c r="K214" s="114" t="s">
        <v>1047</v>
      </c>
      <c r="L214" s="115" t="s">
        <v>69</v>
      </c>
      <c r="M214" s="107" t="s">
        <v>40</v>
      </c>
    </row>
    <row r="215" spans="1:13" s="116" customFormat="1" ht="81" customHeight="1">
      <c r="A215" s="105" t="str">
        <f t="shared" si="116"/>
        <v>23EB0082PERFORMANCE BOND</v>
      </c>
      <c r="B215" s="106">
        <v>200</v>
      </c>
      <c r="C215" s="119" t="s">
        <v>453</v>
      </c>
      <c r="D215" s="108" t="s">
        <v>1044</v>
      </c>
      <c r="E215" s="109" t="s">
        <v>1045</v>
      </c>
      <c r="F215" s="110">
        <v>2881183.78</v>
      </c>
      <c r="G215" s="111">
        <v>45002</v>
      </c>
      <c r="H215" s="111">
        <v>45002</v>
      </c>
      <c r="I215" s="111">
        <v>45368</v>
      </c>
      <c r="J215" s="113" t="s">
        <v>27</v>
      </c>
      <c r="K215" s="114" t="s">
        <v>1047</v>
      </c>
      <c r="L215" s="115" t="s">
        <v>69</v>
      </c>
      <c r="M215" s="107" t="s">
        <v>40</v>
      </c>
    </row>
    <row r="216" spans="1:13" s="116" customFormat="1" ht="81" customHeight="1">
      <c r="A216" s="105" t="str">
        <f t="shared" ref="A216" si="117">D216&amp;M216</f>
        <v>23EB0082PERFORMANCE BOND</v>
      </c>
      <c r="B216" s="106">
        <v>200</v>
      </c>
      <c r="C216" s="119" t="s">
        <v>453</v>
      </c>
      <c r="D216" s="108" t="s">
        <v>1044</v>
      </c>
      <c r="E216" s="109" t="s">
        <v>1045</v>
      </c>
      <c r="F216" s="110">
        <v>2881183.78</v>
      </c>
      <c r="G216" s="111">
        <v>45002</v>
      </c>
      <c r="H216" s="111">
        <v>45002</v>
      </c>
      <c r="I216" s="111">
        <v>45368</v>
      </c>
      <c r="J216" s="113" t="s">
        <v>27</v>
      </c>
      <c r="K216" s="114" t="s">
        <v>1047</v>
      </c>
      <c r="L216" s="115" t="s">
        <v>69</v>
      </c>
      <c r="M216" s="107" t="s">
        <v>40</v>
      </c>
    </row>
    <row r="217" spans="1:13" s="53" customFormat="1" ht="32.25">
      <c r="A217" s="98"/>
      <c r="B217" s="51"/>
      <c r="C217" s="52" t="s">
        <v>46</v>
      </c>
      <c r="D217" s="51"/>
      <c r="E217" s="51"/>
      <c r="F217" s="51"/>
      <c r="G217" s="51"/>
      <c r="H217" s="92"/>
      <c r="I217" s="92"/>
      <c r="J217" s="86"/>
      <c r="K217" s="51"/>
      <c r="L217" s="51"/>
      <c r="M217" s="51"/>
    </row>
    <row r="218" spans="1:13" s="53" customFormat="1" ht="14.25">
      <c r="A218" s="98"/>
      <c r="B218" s="51"/>
      <c r="C218" s="51"/>
      <c r="D218" s="51"/>
      <c r="E218" s="51"/>
      <c r="F218" s="51"/>
      <c r="G218" s="51"/>
      <c r="H218" s="92"/>
      <c r="I218" s="92"/>
      <c r="J218" s="86"/>
      <c r="K218" s="51"/>
      <c r="L218" s="51"/>
      <c r="M218" s="51"/>
    </row>
    <row r="219" spans="1:13" s="53" customFormat="1" ht="34.5">
      <c r="A219" s="99"/>
      <c r="B219" s="51"/>
      <c r="C219" s="54"/>
      <c r="D219" s="54" t="s">
        <v>47</v>
      </c>
      <c r="E219" s="55"/>
      <c r="F219" s="51"/>
      <c r="G219" s="51"/>
      <c r="H219" s="92"/>
      <c r="I219" s="92"/>
      <c r="J219" s="86"/>
      <c r="K219" s="51"/>
      <c r="L219" s="51"/>
      <c r="M219" s="51"/>
    </row>
    <row r="220" spans="1:13" s="53" customFormat="1" ht="34.5">
      <c r="A220" s="100"/>
      <c r="B220" s="51"/>
      <c r="C220" s="56"/>
      <c r="D220" s="56" t="s">
        <v>48</v>
      </c>
      <c r="E220" s="55"/>
      <c r="F220" s="51"/>
      <c r="G220" s="51"/>
      <c r="H220" s="92"/>
      <c r="I220" s="92"/>
      <c r="J220" s="86"/>
      <c r="K220" s="51"/>
      <c r="L220" s="51"/>
      <c r="M220" s="51"/>
    </row>
    <row r="221" spans="1:13" customFormat="1">
      <c r="A221" s="101"/>
      <c r="H221" s="93"/>
      <c r="I221" s="93"/>
      <c r="J221" s="87"/>
    </row>
    <row r="222" spans="1:13" customFormat="1">
      <c r="A222" s="101"/>
      <c r="H222" s="93"/>
      <c r="I222" s="93"/>
      <c r="J222" s="87"/>
    </row>
    <row r="223" spans="1:13" customFormat="1">
      <c r="A223" s="101"/>
      <c r="H223" s="93"/>
      <c r="I223" s="93"/>
      <c r="J223" s="87"/>
    </row>
  </sheetData>
  <mergeCells count="16">
    <mergeCell ref="B10:M10"/>
    <mergeCell ref="AE11:AR11"/>
    <mergeCell ref="B1:M1"/>
    <mergeCell ref="B2:M2"/>
    <mergeCell ref="B3:M3"/>
    <mergeCell ref="B4:M4"/>
    <mergeCell ref="B5:M5"/>
    <mergeCell ref="B6:M6"/>
    <mergeCell ref="B9:M9"/>
    <mergeCell ref="AE2:AR2"/>
    <mergeCell ref="AE3:AR3"/>
    <mergeCell ref="AE4:AR4"/>
    <mergeCell ref="AE5:AR5"/>
    <mergeCell ref="AE6:AR6"/>
    <mergeCell ref="AE7:AR7"/>
    <mergeCell ref="AE10:AR10"/>
  </mergeCells>
  <conditionalFormatting sqref="E140">
    <cfRule type="expression" dxfId="1" priority="2" stopIfTrue="1">
      <formula>LEN(TRIM(E140))=0</formula>
    </cfRule>
  </conditionalFormatting>
  <conditionalFormatting sqref="E141">
    <cfRule type="expression" dxfId="0" priority="1" stopIfTrue="1">
      <formula>LEN(TRIM(E141))=0</formula>
    </cfRule>
  </conditionalFormatting>
  <pageMargins left="0.25" right="0.25" top="0.28000000000000003" bottom="0.22" header="0.3" footer="0.3"/>
  <pageSetup paperSize="14" scale="32" fitToHeight="0" orientation="landscape" r:id="rId1"/>
  <rowBreaks count="3" manualBreakCount="3">
    <brk id="24" min="1" max="12" man="1"/>
    <brk id="44" min="1" max="12" man="1"/>
    <brk id="196" min="1" max="14"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C208"/>
  <sheetViews>
    <sheetView topLeftCell="A67" zoomScale="85" zoomScaleNormal="85" workbookViewId="0">
      <selection activeCell="B76" sqref="B76"/>
    </sheetView>
  </sheetViews>
  <sheetFormatPr defaultRowHeight="15"/>
  <cols>
    <col min="1" max="1" width="38.28515625" customWidth="1"/>
    <col min="2" max="3" width="29.5703125" style="28" customWidth="1"/>
  </cols>
  <sheetData>
    <row r="1" spans="1:3" s="28" customFormat="1" ht="21.75" thickBot="1">
      <c r="A1" s="153" t="s">
        <v>50</v>
      </c>
      <c r="B1" s="33" t="s">
        <v>49</v>
      </c>
      <c r="C1" s="33" t="s">
        <v>0</v>
      </c>
    </row>
    <row r="2" spans="1:3" s="28" customFormat="1" ht="45">
      <c r="A2" s="36" t="str">
        <f>EXCEL!A14</f>
        <v>24EB0074CONTRACTOR'S ALL RISK POLICY</v>
      </c>
      <c r="B2" s="35" t="s">
        <v>269</v>
      </c>
      <c r="C2" s="35" t="s">
        <v>1310</v>
      </c>
    </row>
    <row r="3" spans="1:3" s="28" customFormat="1" ht="45">
      <c r="A3" s="36" t="str">
        <f>EXCEL!A15</f>
        <v>24EB0074PERFORMANCE BOND</v>
      </c>
      <c r="B3" s="35" t="s">
        <v>269</v>
      </c>
      <c r="C3" s="35" t="s">
        <v>1310</v>
      </c>
    </row>
    <row r="4" spans="1:3" s="28" customFormat="1" ht="45">
      <c r="A4" s="36" t="str">
        <f>EXCEL!A16</f>
        <v>24EB0011CONTRACTOR'S ALL RISK POLICY</v>
      </c>
      <c r="B4" s="35" t="s">
        <v>269</v>
      </c>
      <c r="C4" s="35" t="s">
        <v>1310</v>
      </c>
    </row>
    <row r="5" spans="1:3" s="28" customFormat="1" ht="46.5">
      <c r="A5" s="36" t="str">
        <f>EXCEL!A17</f>
        <v>24EB0011PERFORMANCE BOND</v>
      </c>
      <c r="B5" s="35" t="s">
        <v>269</v>
      </c>
      <c r="C5" s="35" t="s">
        <v>270</v>
      </c>
    </row>
    <row r="6" spans="1:3" s="28" customFormat="1" ht="46.5">
      <c r="A6" s="36" t="str">
        <f>EXCEL!A18</f>
        <v>24EB0081CONTRACTOR'S ALL RISK POLICY</v>
      </c>
      <c r="B6" s="35" t="s">
        <v>269</v>
      </c>
      <c r="C6" s="35" t="s">
        <v>270</v>
      </c>
    </row>
    <row r="7" spans="1:3" s="28" customFormat="1" ht="45">
      <c r="A7" s="36" t="str">
        <f>EXCEL!A19</f>
        <v>24EB0081PERFORMANCE BOND</v>
      </c>
      <c r="B7" s="35" t="s">
        <v>269</v>
      </c>
      <c r="C7" s="35" t="s">
        <v>59</v>
      </c>
    </row>
    <row r="8" spans="1:3" s="28" customFormat="1" ht="45">
      <c r="A8" s="36" t="str">
        <f>EXCEL!A20</f>
        <v>24EB0082CONTRACTOR'S ALL RISK POLICY</v>
      </c>
      <c r="B8" s="35" t="s">
        <v>269</v>
      </c>
      <c r="C8" s="35" t="s">
        <v>59</v>
      </c>
    </row>
    <row r="9" spans="1:3" s="28" customFormat="1" ht="46.5">
      <c r="A9" s="36" t="str">
        <f>EXCEL!A21</f>
        <v>24EB0082PERFORMANCE BOND</v>
      </c>
      <c r="B9" s="35" t="s">
        <v>269</v>
      </c>
      <c r="C9" s="35" t="s">
        <v>270</v>
      </c>
    </row>
    <row r="10" spans="1:3" s="28" customFormat="1" ht="46.5">
      <c r="A10" s="36" t="str">
        <f>EXCEL!A22</f>
        <v>24EB0013CONTRACTOR'S ALL RISK POLICY</v>
      </c>
      <c r="B10" s="35" t="s">
        <v>269</v>
      </c>
      <c r="C10" s="35" t="s">
        <v>270</v>
      </c>
    </row>
    <row r="11" spans="1:3" s="28" customFormat="1" ht="46.5">
      <c r="A11" s="36" t="str">
        <f>EXCEL!A23</f>
        <v>24EB0013PERFORMANCE BOND</v>
      </c>
      <c r="B11" s="35" t="s">
        <v>269</v>
      </c>
      <c r="C11" s="35" t="s">
        <v>270</v>
      </c>
    </row>
    <row r="12" spans="1:3" s="28" customFormat="1" ht="46.5">
      <c r="A12" s="36" t="str">
        <f>EXCEL!A24</f>
        <v>24EB0032CONTRACTOR'S ALL RISK POLICY</v>
      </c>
      <c r="B12" s="35" t="s">
        <v>269</v>
      </c>
      <c r="C12" s="35" t="s">
        <v>270</v>
      </c>
    </row>
    <row r="13" spans="1:3" s="28" customFormat="1" ht="46.5">
      <c r="A13" s="36" t="str">
        <f>EXCEL!A25</f>
        <v>24EB0032PERFORMANCE BOND</v>
      </c>
      <c r="B13" s="35" t="s">
        <v>269</v>
      </c>
      <c r="C13" s="35" t="s">
        <v>270</v>
      </c>
    </row>
    <row r="14" spans="1:3" s="28" customFormat="1" ht="46.5">
      <c r="A14" s="36" t="str">
        <f>EXCEL!A26</f>
        <v>24EB0073CONTRACTOR'S ALL RISK POLICY</v>
      </c>
      <c r="B14" s="35" t="s">
        <v>269</v>
      </c>
      <c r="C14" s="35" t="s">
        <v>270</v>
      </c>
    </row>
    <row r="15" spans="1:3" s="28" customFormat="1" ht="46.5">
      <c r="A15" s="36" t="str">
        <f>EXCEL!A27</f>
        <v>24EB0073PERFORMANCE BOND</v>
      </c>
      <c r="B15" s="35" t="s">
        <v>269</v>
      </c>
      <c r="C15" s="35" t="s">
        <v>270</v>
      </c>
    </row>
    <row r="16" spans="1:3" s="28" customFormat="1" ht="46.5">
      <c r="A16" s="36" t="str">
        <f>EXCEL!A28</f>
        <v>24EB0019ADVANCE PAYMENT BOND</v>
      </c>
      <c r="B16" s="35" t="s">
        <v>269</v>
      </c>
      <c r="C16" s="35" t="s">
        <v>270</v>
      </c>
    </row>
    <row r="17" spans="1:3" s="28" customFormat="1" ht="46.5">
      <c r="A17" s="36" t="str">
        <f>EXCEL!A29</f>
        <v>23EB0105ADVANCE PAYMENT BOND</v>
      </c>
      <c r="B17" s="35" t="s">
        <v>269</v>
      </c>
      <c r="C17" s="35" t="s">
        <v>270</v>
      </c>
    </row>
    <row r="18" spans="1:3" s="28" customFormat="1" ht="46.5">
      <c r="A18" s="36" t="str">
        <f>EXCEL!A30</f>
        <v>23EB0106ADVANCE PAYMENT BOND</v>
      </c>
      <c r="B18" s="35" t="s">
        <v>269</v>
      </c>
      <c r="C18" s="35" t="s">
        <v>270</v>
      </c>
    </row>
    <row r="19" spans="1:3" s="28" customFormat="1" ht="46.5">
      <c r="A19" s="36" t="str">
        <f>EXCEL!A31</f>
        <v>24EB0011ADVANCE PAYMENT BOND</v>
      </c>
      <c r="B19" s="35" t="s">
        <v>269</v>
      </c>
      <c r="C19" s="35" t="s">
        <v>270</v>
      </c>
    </row>
    <row r="20" spans="1:3" s="28" customFormat="1" ht="46.5">
      <c r="A20" s="36" t="str">
        <f>EXCEL!A32</f>
        <v>24EB0032ADVANCE PAYMENT BOND</v>
      </c>
      <c r="B20" s="35" t="s">
        <v>269</v>
      </c>
      <c r="C20" s="35" t="s">
        <v>270</v>
      </c>
    </row>
    <row r="21" spans="1:3" s="28" customFormat="1" ht="46.5">
      <c r="A21" s="36" t="str">
        <f>EXCEL!A33</f>
        <v>24EB0074ADVANCE PAYMENT BOND</v>
      </c>
      <c r="B21" s="35" t="s">
        <v>269</v>
      </c>
      <c r="C21" s="35" t="s">
        <v>270</v>
      </c>
    </row>
    <row r="22" spans="1:3" s="28" customFormat="1" ht="46.5">
      <c r="A22" s="36" t="str">
        <f>EXCEL!A34</f>
        <v>24EB0082ADVANCE PAYMENT BOND</v>
      </c>
      <c r="B22" s="35" t="s">
        <v>269</v>
      </c>
      <c r="C22" s="35" t="s">
        <v>270</v>
      </c>
    </row>
    <row r="23" spans="1:3" s="28" customFormat="1" ht="46.5">
      <c r="A23" s="36" t="str">
        <f>EXCEL!A35</f>
        <v>24EB0073ADVANCE PAYMENT BOND</v>
      </c>
      <c r="B23" s="35" t="s">
        <v>269</v>
      </c>
      <c r="C23" s="35" t="s">
        <v>270</v>
      </c>
    </row>
    <row r="24" spans="1:3" s="28" customFormat="1" ht="45">
      <c r="A24" s="36" t="str">
        <f>EXCEL!A36</f>
        <v>24EB0058ADVANCE PAYMENT BOND</v>
      </c>
      <c r="B24" s="35" t="s">
        <v>1190</v>
      </c>
      <c r="C24" s="35" t="s">
        <v>1555</v>
      </c>
    </row>
    <row r="25" spans="1:3" s="28" customFormat="1" ht="45">
      <c r="A25" s="36" t="str">
        <f>EXCEL!A37</f>
        <v>24EB0041ADVANCE PAYMENT BOND</v>
      </c>
      <c r="B25" s="35" t="s">
        <v>1190</v>
      </c>
      <c r="C25" s="35" t="s">
        <v>1555</v>
      </c>
    </row>
    <row r="26" spans="1:3" s="28" customFormat="1" ht="45">
      <c r="A26" s="36" t="str">
        <f>EXCEL!A38</f>
        <v>24EB0010-R1ADVANCE PAYMENT BOND</v>
      </c>
      <c r="B26" s="35" t="s">
        <v>1190</v>
      </c>
      <c r="C26" s="35" t="s">
        <v>1555</v>
      </c>
    </row>
    <row r="27" spans="1:3" s="28" customFormat="1" ht="45">
      <c r="A27" s="36" t="str">
        <f>EXCEL!A39</f>
        <v>24EB0002ADVANCE PAYMENT BOND</v>
      </c>
      <c r="B27" s="35" t="s">
        <v>1190</v>
      </c>
      <c r="C27" s="35" t="s">
        <v>1555</v>
      </c>
    </row>
    <row r="28" spans="1:3" s="28" customFormat="1" ht="45">
      <c r="A28" s="36" t="str">
        <f>EXCEL!A40</f>
        <v>24EB0040ADVANCE PAYMENT BOND</v>
      </c>
      <c r="B28" s="35" t="s">
        <v>1190</v>
      </c>
      <c r="C28" s="35" t="s">
        <v>1555</v>
      </c>
    </row>
    <row r="29" spans="1:3" s="28" customFormat="1" ht="45">
      <c r="A29" s="36" t="str">
        <f>EXCEL!A41</f>
        <v>24EB0043ADVANCE PAYMENT BOND</v>
      </c>
      <c r="B29" s="35" t="s">
        <v>1190</v>
      </c>
      <c r="C29" s="35" t="s">
        <v>1555</v>
      </c>
    </row>
    <row r="30" spans="1:3" s="28" customFormat="1" ht="45">
      <c r="A30" s="36" t="str">
        <f>EXCEL!A42</f>
        <v>24EB0005CONTRACTOR'S ALL RISK POLICY</v>
      </c>
      <c r="B30" s="35" t="s">
        <v>1190</v>
      </c>
      <c r="C30" s="35" t="s">
        <v>1555</v>
      </c>
    </row>
    <row r="31" spans="1:3" s="28" customFormat="1" ht="74.25" customHeight="1">
      <c r="A31" s="36" t="str">
        <f>EXCEL!A43</f>
        <v>24EB0005PERFORMANCE BOND</v>
      </c>
      <c r="B31" s="35" t="s">
        <v>1190</v>
      </c>
      <c r="C31" s="35" t="s">
        <v>1555</v>
      </c>
    </row>
    <row r="32" spans="1:3" s="28" customFormat="1" ht="45.75" customHeight="1">
      <c r="A32" s="36" t="str">
        <f>EXCEL!A44</f>
        <v>24EB0062ADVANCE PAYMENT BOND</v>
      </c>
      <c r="B32" s="35" t="s">
        <v>1190</v>
      </c>
      <c r="C32" s="35" t="s">
        <v>1555</v>
      </c>
    </row>
    <row r="33" spans="1:3" s="28" customFormat="1" ht="45">
      <c r="A33" s="36" t="str">
        <f>EXCEL!A45</f>
        <v>24EB0062CONTRACTOR'S ALL RISK POLICY</v>
      </c>
      <c r="B33" s="35" t="s">
        <v>1190</v>
      </c>
      <c r="C33" s="35" t="s">
        <v>1555</v>
      </c>
    </row>
    <row r="34" spans="1:3" s="28" customFormat="1" ht="45">
      <c r="A34" s="36" t="str">
        <f>EXCEL!A46</f>
        <v>24EB0062PERFORMANCE BOND</v>
      </c>
      <c r="B34" s="35" t="s">
        <v>1190</v>
      </c>
      <c r="C34" s="35" t="s">
        <v>1555</v>
      </c>
    </row>
    <row r="35" spans="1:3" s="28" customFormat="1" ht="45">
      <c r="A35" s="36" t="str">
        <f>EXCEL!A47</f>
        <v>24EB0009CONTRACTOR'S ALL RISK POLICY</v>
      </c>
      <c r="B35" s="35" t="s">
        <v>1190</v>
      </c>
      <c r="C35" s="35" t="s">
        <v>1555</v>
      </c>
    </row>
    <row r="36" spans="1:3" s="28" customFormat="1" ht="45">
      <c r="A36" s="36" t="str">
        <f>EXCEL!A48</f>
        <v>24EB0009PERFORMANCE BOND</v>
      </c>
      <c r="B36" s="35" t="s">
        <v>1190</v>
      </c>
      <c r="C36" s="35" t="s">
        <v>1555</v>
      </c>
    </row>
    <row r="37" spans="1:3" s="28" customFormat="1" ht="45">
      <c r="A37" s="36" t="str">
        <f>EXCEL!A49</f>
        <v>24EB0053CONTRACTOR'S ALL RISK POLICY</v>
      </c>
      <c r="B37" s="35" t="s">
        <v>1190</v>
      </c>
      <c r="C37" s="35" t="s">
        <v>1555</v>
      </c>
    </row>
    <row r="38" spans="1:3" s="28" customFormat="1" ht="45">
      <c r="A38" s="36" t="str">
        <f>EXCEL!A50</f>
        <v>24EB0053PERFORMANCE BOND</v>
      </c>
      <c r="B38" s="35" t="s">
        <v>1190</v>
      </c>
      <c r="C38" s="35" t="s">
        <v>1555</v>
      </c>
    </row>
    <row r="39" spans="1:3" s="28" customFormat="1" ht="45">
      <c r="A39" s="36" t="str">
        <f>EXCEL!A51</f>
        <v>24EB0003CONTRACTOR'S ALL RISK POLICY</v>
      </c>
      <c r="B39" s="35" t="s">
        <v>1190</v>
      </c>
      <c r="C39" s="35" t="s">
        <v>1555</v>
      </c>
    </row>
    <row r="40" spans="1:3" s="28" customFormat="1" ht="45">
      <c r="A40" s="36" t="str">
        <f>EXCEL!A52</f>
        <v>24EB0003PERFORMANCE BOND</v>
      </c>
      <c r="B40" s="35" t="s">
        <v>1190</v>
      </c>
      <c r="C40" s="35" t="s">
        <v>1555</v>
      </c>
    </row>
    <row r="41" spans="1:3" s="28" customFormat="1" ht="45">
      <c r="A41" s="36" t="str">
        <f>EXCEL!A53</f>
        <v>24EB0004CONTRACTOR'S ALL RISK POLICY</v>
      </c>
      <c r="B41" s="35" t="s">
        <v>1190</v>
      </c>
      <c r="C41" s="35" t="s">
        <v>1555</v>
      </c>
    </row>
    <row r="42" spans="1:3" s="28" customFormat="1" ht="45">
      <c r="A42" s="36" t="str">
        <f>EXCEL!A54</f>
        <v>24EB0004PERFORMANCE BOND</v>
      </c>
      <c r="B42" s="35" t="s">
        <v>1190</v>
      </c>
      <c r="C42" s="35" t="s">
        <v>1555</v>
      </c>
    </row>
    <row r="43" spans="1:3" s="28" customFormat="1" ht="45">
      <c r="A43" s="36" t="str">
        <f>EXCEL!A55</f>
        <v>24EB0006CONTRACTOR'S ALL RISK POLICY</v>
      </c>
      <c r="B43" s="35" t="s">
        <v>1190</v>
      </c>
      <c r="C43" s="35" t="s">
        <v>1555</v>
      </c>
    </row>
    <row r="44" spans="1:3" s="28" customFormat="1" ht="45">
      <c r="A44" s="36" t="str">
        <f>EXCEL!A56</f>
        <v>24EB0006PERFORMANCE BOND</v>
      </c>
      <c r="B44" s="35" t="s">
        <v>1190</v>
      </c>
      <c r="C44" s="35" t="s">
        <v>1555</v>
      </c>
    </row>
    <row r="45" spans="1:3" s="28" customFormat="1" ht="45">
      <c r="A45" s="36" t="str">
        <f>EXCEL!A57</f>
        <v>24EB0060CONTRACTOR'S ALL RISK POLICY</v>
      </c>
      <c r="B45" s="35" t="s">
        <v>1190</v>
      </c>
      <c r="C45" s="35" t="s">
        <v>1555</v>
      </c>
    </row>
    <row r="46" spans="1:3" s="28" customFormat="1" ht="45">
      <c r="A46" s="36" t="str">
        <f>EXCEL!A58</f>
        <v>24EB0060PERFORMANCE BOND</v>
      </c>
      <c r="B46" s="35" t="s">
        <v>1190</v>
      </c>
      <c r="C46" s="35" t="s">
        <v>1555</v>
      </c>
    </row>
    <row r="47" spans="1:3" s="28" customFormat="1" ht="45">
      <c r="A47" s="36" t="str">
        <f>EXCEL!A59</f>
        <v>24EB0023CONTRACTOR'S ALL RISK POLICY</v>
      </c>
      <c r="B47" s="35" t="s">
        <v>1190</v>
      </c>
      <c r="C47" s="35" t="s">
        <v>1555</v>
      </c>
    </row>
    <row r="48" spans="1:3" s="28" customFormat="1" ht="45">
      <c r="A48" s="36" t="str">
        <f>EXCEL!A60</f>
        <v>24EB0023PERFORMANCE BOND</v>
      </c>
      <c r="B48" s="35" t="s">
        <v>1190</v>
      </c>
      <c r="C48" s="35" t="s">
        <v>1555</v>
      </c>
    </row>
    <row r="49" spans="1:3" s="28" customFormat="1" ht="45">
      <c r="A49" s="36" t="str">
        <f>EXCEL!A61</f>
        <v>24EB0020CONTRACTOR'S ALL RISK POLICY</v>
      </c>
      <c r="B49" s="35" t="s">
        <v>1190</v>
      </c>
      <c r="C49" s="35" t="s">
        <v>1555</v>
      </c>
    </row>
    <row r="50" spans="1:3" s="28" customFormat="1" ht="45">
      <c r="A50" s="36" t="str">
        <f>EXCEL!A62</f>
        <v>24EB0020PERFORMANCE BOND</v>
      </c>
      <c r="B50" s="35" t="s">
        <v>1190</v>
      </c>
      <c r="C50" s="35" t="s">
        <v>1555</v>
      </c>
    </row>
    <row r="51" spans="1:3" s="28" customFormat="1" ht="45">
      <c r="A51" s="36" t="str">
        <f>EXCEL!A63</f>
        <v>24EB0016CONTRACTOR'S ALL RISK POLICY</v>
      </c>
      <c r="B51" s="35" t="s">
        <v>1190</v>
      </c>
      <c r="C51" s="35" t="s">
        <v>1555</v>
      </c>
    </row>
    <row r="52" spans="1:3" s="28" customFormat="1" ht="45">
      <c r="A52" s="36" t="str">
        <f>EXCEL!A64</f>
        <v>24EB0016PERFORMANCE BOND</v>
      </c>
      <c r="B52" s="35" t="s">
        <v>1190</v>
      </c>
      <c r="C52" s="35" t="s">
        <v>1555</v>
      </c>
    </row>
    <row r="53" spans="1:3" s="28" customFormat="1" ht="45">
      <c r="A53" s="36" t="str">
        <f>EXCEL!A65</f>
        <v>24EB0024CONTRACTOR'S ALL RISK POLICY</v>
      </c>
      <c r="B53" s="35" t="s">
        <v>1190</v>
      </c>
      <c r="C53" s="35" t="s">
        <v>1555</v>
      </c>
    </row>
    <row r="54" spans="1:3" s="28" customFormat="1" ht="45">
      <c r="A54" s="36" t="str">
        <f>EXCEL!A66</f>
        <v>24EB0024PERFORMANCE BOND</v>
      </c>
      <c r="B54" s="35" t="s">
        <v>1190</v>
      </c>
      <c r="C54" s="35" t="s">
        <v>1555</v>
      </c>
    </row>
    <row r="55" spans="1:3" s="28" customFormat="1" ht="45">
      <c r="A55" s="36" t="str">
        <f>EXCEL!A67</f>
        <v>24EB0059CONTRACTOR'S ALL RISK POLICY</v>
      </c>
      <c r="B55" s="35" t="s">
        <v>1190</v>
      </c>
      <c r="C55" s="35" t="s">
        <v>1555</v>
      </c>
    </row>
    <row r="56" spans="1:3" s="28" customFormat="1" ht="45">
      <c r="A56" s="36" t="str">
        <f>EXCEL!A68</f>
        <v>24EB0059PERFORMANCE BOND</v>
      </c>
      <c r="B56" s="35" t="s">
        <v>1190</v>
      </c>
      <c r="C56" s="35" t="s">
        <v>1555</v>
      </c>
    </row>
    <row r="57" spans="1:3" s="28" customFormat="1" ht="45">
      <c r="A57" s="36" t="str">
        <f>EXCEL!A69</f>
        <v>24EB0008CONTRACTOR'S ALL RISK POLICY</v>
      </c>
      <c r="B57" s="35" t="s">
        <v>1190</v>
      </c>
      <c r="C57" s="35" t="s">
        <v>1555</v>
      </c>
    </row>
    <row r="58" spans="1:3" s="28" customFormat="1" ht="45">
      <c r="A58" s="36" t="str">
        <f>EXCEL!A70</f>
        <v>24EB0008PERFORMANCE BOND</v>
      </c>
      <c r="B58" s="35" t="s">
        <v>1190</v>
      </c>
      <c r="C58" s="35" t="s">
        <v>1555</v>
      </c>
    </row>
    <row r="59" spans="1:3" s="28" customFormat="1" ht="45">
      <c r="A59" s="36" t="str">
        <f>EXCEL!A71</f>
        <v>24EB0007CONTRACTOR'S ALL RISK POLICY</v>
      </c>
      <c r="B59" s="35" t="s">
        <v>1190</v>
      </c>
      <c r="C59" s="35" t="s">
        <v>1555</v>
      </c>
    </row>
    <row r="60" spans="1:3" s="28" customFormat="1" ht="45">
      <c r="A60" s="36" t="str">
        <f>EXCEL!A72</f>
        <v>24EB0007PERFORMANCE BOND</v>
      </c>
      <c r="B60" s="35" t="s">
        <v>1190</v>
      </c>
      <c r="C60" s="35" t="s">
        <v>1555</v>
      </c>
    </row>
    <row r="61" spans="1:3" s="28" customFormat="1" ht="45">
      <c r="A61" s="36" t="str">
        <f>EXCEL!A73</f>
        <v>24EB0024ADVANCE PAYMENT BOND</v>
      </c>
      <c r="B61" s="35" t="s">
        <v>1190</v>
      </c>
      <c r="C61" s="35" t="s">
        <v>1555</v>
      </c>
    </row>
    <row r="62" spans="1:3" s="28" customFormat="1" ht="45">
      <c r="A62" s="36" t="str">
        <f>EXCEL!A74</f>
        <v>24EB0004ADVANCE PAYMENT BOND</v>
      </c>
      <c r="B62" s="35" t="s">
        <v>1190</v>
      </c>
      <c r="C62" s="35" t="s">
        <v>1555</v>
      </c>
    </row>
    <row r="63" spans="1:3" s="28" customFormat="1" ht="45">
      <c r="A63" s="36" t="str">
        <f>EXCEL!A75</f>
        <v>24EB0053ADVANCE PAYMENT BOND</v>
      </c>
      <c r="B63" s="35" t="s">
        <v>1190</v>
      </c>
      <c r="C63" s="35" t="s">
        <v>1555</v>
      </c>
    </row>
    <row r="64" spans="1:3" s="28" customFormat="1" ht="45">
      <c r="A64" s="36" t="str">
        <f>EXCEL!A76</f>
        <v>24EB0005ADVANCE PAYMENT BOND</v>
      </c>
      <c r="B64" s="35" t="s">
        <v>1190</v>
      </c>
      <c r="C64" s="35" t="s">
        <v>1555</v>
      </c>
    </row>
    <row r="65" spans="1:3" s="28" customFormat="1" ht="45">
      <c r="A65" s="36" t="str">
        <f>EXCEL!A77</f>
        <v>24EB0007ADVANCE PAYMENT BOND</v>
      </c>
      <c r="B65" s="35" t="s">
        <v>1190</v>
      </c>
      <c r="C65" s="35" t="s">
        <v>1555</v>
      </c>
    </row>
    <row r="66" spans="1:3" s="28" customFormat="1" ht="23.25">
      <c r="A66" s="36" t="e">
        <f>EXCEL!#REF!</f>
        <v>#REF!</v>
      </c>
      <c r="B66" s="35" t="s">
        <v>1190</v>
      </c>
      <c r="C66" s="35" t="s">
        <v>1555</v>
      </c>
    </row>
    <row r="67" spans="1:3" s="28" customFormat="1" ht="45">
      <c r="A67" s="36" t="str">
        <f>EXCEL!A78</f>
        <v>24EB0009ADVANCE PAYMENT BOND</v>
      </c>
      <c r="B67" s="35" t="s">
        <v>1190</v>
      </c>
      <c r="C67" s="35" t="s">
        <v>1555</v>
      </c>
    </row>
    <row r="68" spans="1:3" s="28" customFormat="1" ht="45">
      <c r="A68" s="36" t="str">
        <f>EXCEL!A79</f>
        <v>24EB0008ADVANCE PAYMENT BOND</v>
      </c>
      <c r="B68" s="35" t="s">
        <v>1190</v>
      </c>
      <c r="C68" s="35" t="s">
        <v>1555</v>
      </c>
    </row>
    <row r="69" spans="1:3" s="28" customFormat="1" ht="45">
      <c r="A69" s="36" t="str">
        <f>EXCEL!A80</f>
        <v>24EB0059ADVANCE PAYMENT BOND</v>
      </c>
      <c r="B69" s="35" t="s">
        <v>1190</v>
      </c>
      <c r="C69" s="35" t="s">
        <v>1555</v>
      </c>
    </row>
    <row r="70" spans="1:3" s="28" customFormat="1" ht="45">
      <c r="A70" s="36" t="str">
        <f>EXCEL!A81</f>
        <v>24EB0060ADVANCE PAYMENT BOND</v>
      </c>
      <c r="B70" s="35" t="s">
        <v>1190</v>
      </c>
      <c r="C70" s="35" t="s">
        <v>1555</v>
      </c>
    </row>
    <row r="71" spans="1:3" s="28" customFormat="1" ht="45">
      <c r="A71" s="36" t="str">
        <f>EXCEL!A82</f>
        <v>24EB0006ADVANCE PAYMENT BOND</v>
      </c>
      <c r="B71" s="35" t="s">
        <v>1190</v>
      </c>
      <c r="C71" s="35" t="s">
        <v>1555</v>
      </c>
    </row>
    <row r="72" spans="1:3" s="28" customFormat="1" ht="45">
      <c r="A72" s="36" t="str">
        <f>EXCEL!A83</f>
        <v>24EB0020ADVANCE PAYMENT BOND</v>
      </c>
      <c r="B72" s="35" t="s">
        <v>1190</v>
      </c>
      <c r="C72" s="35" t="s">
        <v>1555</v>
      </c>
    </row>
    <row r="73" spans="1:3" s="28" customFormat="1" ht="45">
      <c r="A73" s="36" t="str">
        <f>EXCEL!A84</f>
        <v>24EB0020ADVANCE PAYMENT BOND</v>
      </c>
      <c r="B73" s="35" t="s">
        <v>1190</v>
      </c>
      <c r="C73" s="35" t="s">
        <v>1555</v>
      </c>
    </row>
    <row r="74" spans="1:3" s="28" customFormat="1" ht="45">
      <c r="A74" s="36" t="str">
        <f>EXCEL!A85</f>
        <v>24EB0023ADVANCE PAYMENT BOND</v>
      </c>
      <c r="B74" s="35" t="s">
        <v>1190</v>
      </c>
      <c r="C74" s="35" t="s">
        <v>1555</v>
      </c>
    </row>
    <row r="75" spans="1:3" s="28" customFormat="1" ht="45">
      <c r="A75" s="36" t="str">
        <f>EXCEL!A86</f>
        <v>24EB0016ADVANCE PAYMENT BOND</v>
      </c>
      <c r="B75" s="35" t="s">
        <v>1190</v>
      </c>
      <c r="C75" s="35" t="s">
        <v>1555</v>
      </c>
    </row>
    <row r="76" spans="1:3" s="28" customFormat="1" ht="46.5">
      <c r="A76" s="36" t="str">
        <f>EXCEL!A87</f>
        <v>24EB0064ADVANCE PAYMENT BOND</v>
      </c>
      <c r="B76" s="35" t="s">
        <v>62</v>
      </c>
      <c r="C76" s="35" t="s">
        <v>63</v>
      </c>
    </row>
    <row r="77" spans="1:3" s="28" customFormat="1" ht="45">
      <c r="A77" s="36" t="str">
        <f>EXCEL!A88</f>
        <v>22EB0095RETENTION BOND</v>
      </c>
      <c r="B77" s="35" t="s">
        <v>1190</v>
      </c>
      <c r="C77" s="35" t="s">
        <v>1555</v>
      </c>
    </row>
    <row r="78" spans="1:3" s="28" customFormat="1" ht="45">
      <c r="A78" s="36" t="str">
        <f>EXCEL!A89</f>
        <v>22EB0013RETENTION BOND</v>
      </c>
      <c r="B78" s="35" t="s">
        <v>1190</v>
      </c>
      <c r="C78" s="35" t="s">
        <v>1555</v>
      </c>
    </row>
    <row r="79" spans="1:3" s="28" customFormat="1" ht="45">
      <c r="A79" s="36" t="str">
        <f>EXCEL!A90</f>
        <v>23EB0034RETENTION BOND</v>
      </c>
      <c r="B79" s="35" t="s">
        <v>1190</v>
      </c>
      <c r="C79" s="35" t="s">
        <v>1555</v>
      </c>
    </row>
    <row r="80" spans="1:3" s="28" customFormat="1" ht="45">
      <c r="A80" s="36" t="str">
        <f>EXCEL!A91</f>
        <v>22EB0012RETENTION BOND</v>
      </c>
      <c r="B80" s="35" t="s">
        <v>1190</v>
      </c>
      <c r="C80" s="35" t="s">
        <v>1555</v>
      </c>
    </row>
    <row r="81" spans="1:3" s="28" customFormat="1" ht="45">
      <c r="A81" s="36" t="str">
        <f>EXCEL!A92</f>
        <v>22EB0074RETENTION BOND</v>
      </c>
      <c r="B81" s="35" t="s">
        <v>1190</v>
      </c>
      <c r="C81" s="35" t="s">
        <v>1555</v>
      </c>
    </row>
    <row r="82" spans="1:3" s="28" customFormat="1" ht="45">
      <c r="A82" s="36" t="str">
        <f>EXCEL!A93</f>
        <v>22EB0074WARRANTY BOND</v>
      </c>
      <c r="B82" s="35" t="s">
        <v>1190</v>
      </c>
      <c r="C82" s="35" t="s">
        <v>1555</v>
      </c>
    </row>
    <row r="83" spans="1:3" s="28" customFormat="1" ht="45">
      <c r="A83" s="36" t="str">
        <f>EXCEL!A94</f>
        <v>20EB0104RETENTION BOND</v>
      </c>
      <c r="B83" s="35" t="s">
        <v>1190</v>
      </c>
      <c r="C83" s="35" t="s">
        <v>1555</v>
      </c>
    </row>
    <row r="84" spans="1:3" s="28" customFormat="1" ht="23.25">
      <c r="A84" s="36" t="e">
        <f>EXCEL!#REF!</f>
        <v>#REF!</v>
      </c>
      <c r="B84" s="35" t="s">
        <v>1190</v>
      </c>
      <c r="C84" s="35" t="s">
        <v>1555</v>
      </c>
    </row>
    <row r="85" spans="1:3" s="28" customFormat="1" ht="45">
      <c r="A85" s="36" t="str">
        <f>EXCEL!A95</f>
        <v>22EB0012WARRANTY BOND</v>
      </c>
      <c r="B85" s="35" t="s">
        <v>1190</v>
      </c>
      <c r="C85" s="35" t="s">
        <v>1555</v>
      </c>
    </row>
    <row r="86" spans="1:3" s="28" customFormat="1" ht="45">
      <c r="A86" s="36" t="str">
        <f>EXCEL!A96</f>
        <v>23EB0034WARRANTY BOND</v>
      </c>
      <c r="B86" s="35" t="s">
        <v>1190</v>
      </c>
      <c r="C86" s="35" t="s">
        <v>1555</v>
      </c>
    </row>
    <row r="87" spans="1:3" s="28" customFormat="1" ht="45">
      <c r="A87" s="36" t="str">
        <f>EXCEL!A97</f>
        <v>23EB0008WARRANTY BOND</v>
      </c>
      <c r="B87" s="35" t="s">
        <v>1190</v>
      </c>
      <c r="C87" s="35" t="s">
        <v>1555</v>
      </c>
    </row>
    <row r="88" spans="1:3" s="28" customFormat="1" ht="45">
      <c r="A88" s="36" t="str">
        <f>EXCEL!A98</f>
        <v>23EB0007WARRANTY BOND</v>
      </c>
      <c r="B88" s="35" t="s">
        <v>1190</v>
      </c>
      <c r="C88" s="35" t="s">
        <v>1555</v>
      </c>
    </row>
    <row r="89" spans="1:3" s="28" customFormat="1" ht="45">
      <c r="A89" s="36" t="str">
        <f>EXCEL!A99</f>
        <v>23EB0079-R2RETENTION BOND</v>
      </c>
      <c r="B89" s="35" t="s">
        <v>1190</v>
      </c>
      <c r="C89" s="35" t="s">
        <v>1555</v>
      </c>
    </row>
    <row r="90" spans="1:3" s="28" customFormat="1" ht="45">
      <c r="A90" s="36" t="str">
        <f>EXCEL!A100</f>
        <v>23EB0023RETENTION BOND</v>
      </c>
      <c r="B90" s="35" t="s">
        <v>1190</v>
      </c>
      <c r="C90" s="35" t="s">
        <v>1555</v>
      </c>
    </row>
    <row r="91" spans="1:3" s="28" customFormat="1" ht="45">
      <c r="A91" s="36" t="str">
        <f>EXCEL!A101</f>
        <v>22EB0011RETENTION BOND</v>
      </c>
      <c r="B91" s="35" t="s">
        <v>1190</v>
      </c>
      <c r="C91" s="35" t="s">
        <v>1555</v>
      </c>
    </row>
    <row r="92" spans="1:3" s="28" customFormat="1" ht="45">
      <c r="A92" s="36" t="str">
        <f>EXCEL!A102</f>
        <v>22EB0011WARRANTY BOND</v>
      </c>
      <c r="B92" s="35" t="s">
        <v>1190</v>
      </c>
      <c r="C92" s="35" t="s">
        <v>1555</v>
      </c>
    </row>
    <row r="93" spans="1:3" s="28" customFormat="1" ht="45">
      <c r="A93" s="36" t="str">
        <f>EXCEL!A103</f>
        <v>23EB0088WARRANTY BOND</v>
      </c>
      <c r="B93" s="35" t="s">
        <v>1190</v>
      </c>
      <c r="C93" s="35" t="s">
        <v>1555</v>
      </c>
    </row>
    <row r="94" spans="1:3" s="28" customFormat="1" ht="45">
      <c r="A94" s="36" t="str">
        <f>EXCEL!A104</f>
        <v>23EB0088RETENTION BOND</v>
      </c>
      <c r="B94" s="35" t="s">
        <v>1190</v>
      </c>
      <c r="C94" s="35" t="s">
        <v>1555</v>
      </c>
    </row>
    <row r="95" spans="1:3" s="28" customFormat="1" ht="45">
      <c r="A95" s="36" t="str">
        <f>EXCEL!A105</f>
        <v>23EB0100WARRANTY BOND</v>
      </c>
      <c r="B95" s="35" t="s">
        <v>1190</v>
      </c>
      <c r="C95" s="35" t="s">
        <v>1555</v>
      </c>
    </row>
    <row r="96" spans="1:3" s="28" customFormat="1" ht="45">
      <c r="A96" s="36" t="str">
        <f>EXCEL!A106</f>
        <v>23EB0101WARRANTY BOND</v>
      </c>
      <c r="B96" s="35" t="s">
        <v>1190</v>
      </c>
      <c r="C96" s="35" t="s">
        <v>1555</v>
      </c>
    </row>
    <row r="97" spans="1:3" s="28" customFormat="1" ht="45">
      <c r="A97" s="36" t="str">
        <f>EXCEL!A107</f>
        <v>23EB0039-R1WARRANTY BOND</v>
      </c>
      <c r="B97" s="35" t="s">
        <v>1190</v>
      </c>
      <c r="C97" s="35" t="s">
        <v>1555</v>
      </c>
    </row>
    <row r="98" spans="1:3" s="28" customFormat="1" ht="45">
      <c r="A98" s="36" t="str">
        <f>EXCEL!A108</f>
        <v>23EB0032WARRANTY BOND</v>
      </c>
      <c r="B98" s="35" t="s">
        <v>1190</v>
      </c>
      <c r="C98" s="35" t="s">
        <v>1555</v>
      </c>
    </row>
    <row r="99" spans="1:3" s="28" customFormat="1" ht="45">
      <c r="A99" s="36" t="str">
        <f>EXCEL!A109</f>
        <v>23EB0008RETENTION BOND</v>
      </c>
      <c r="B99" s="35" t="s">
        <v>1190</v>
      </c>
      <c r="C99" s="35" t="s">
        <v>1555</v>
      </c>
    </row>
    <row r="100" spans="1:3" s="43" customFormat="1" ht="45">
      <c r="A100" s="36" t="str">
        <f>EXCEL!A110</f>
        <v>23EB0007RETENTION BOND</v>
      </c>
      <c r="B100" s="35" t="s">
        <v>1190</v>
      </c>
      <c r="C100" s="35" t="s">
        <v>1555</v>
      </c>
    </row>
    <row r="101" spans="1:3" s="43" customFormat="1" ht="45">
      <c r="A101" s="36" t="str">
        <f>EXCEL!A111</f>
        <v>23EB0075WARRANTY BOND</v>
      </c>
      <c r="B101" s="35" t="s">
        <v>1190</v>
      </c>
      <c r="C101" s="35" t="s">
        <v>1555</v>
      </c>
    </row>
    <row r="102" spans="1:3" s="43" customFormat="1" ht="23.25">
      <c r="A102" s="36" t="e">
        <f>EXCEL!#REF!</f>
        <v>#REF!</v>
      </c>
      <c r="B102" s="35" t="s">
        <v>1190</v>
      </c>
      <c r="C102" s="35" t="s">
        <v>1555</v>
      </c>
    </row>
    <row r="103" spans="1:3" s="43" customFormat="1" ht="45">
      <c r="A103" s="36" t="str">
        <f>EXCEL!A112</f>
        <v>23EB0074WARRANTY BOND</v>
      </c>
      <c r="B103" s="35" t="s">
        <v>1190</v>
      </c>
      <c r="C103" s="35" t="s">
        <v>1555</v>
      </c>
    </row>
    <row r="104" spans="1:3" s="43" customFormat="1" ht="45">
      <c r="A104" s="36" t="str">
        <f>EXCEL!A113</f>
        <v>20EB0104WARRANTY BOND</v>
      </c>
      <c r="B104" s="35" t="s">
        <v>1190</v>
      </c>
      <c r="C104" s="35" t="s">
        <v>1555</v>
      </c>
    </row>
    <row r="105" spans="1:3" s="43" customFormat="1" ht="45">
      <c r="A105" s="36" t="str">
        <f>EXCEL!A114</f>
        <v>24EB0057PERFORMANCE BOND</v>
      </c>
      <c r="B105" s="35" t="s">
        <v>1190</v>
      </c>
      <c r="C105" s="35" t="s">
        <v>1555</v>
      </c>
    </row>
    <row r="106" spans="1:3" s="43" customFormat="1" ht="45">
      <c r="A106" s="36" t="str">
        <f>EXCEL!A115</f>
        <v>24EB0057CONTRACTOR'S ALL RISK POLICY</v>
      </c>
      <c r="B106" s="35" t="s">
        <v>1190</v>
      </c>
      <c r="C106" s="35" t="s">
        <v>1555</v>
      </c>
    </row>
    <row r="107" spans="1:3" s="43" customFormat="1" ht="45">
      <c r="A107" s="36" t="str">
        <f>EXCEL!A116</f>
        <v>24EB0028CONTRACTOR'S ALL RISK POLICY</v>
      </c>
      <c r="B107" s="35" t="s">
        <v>1190</v>
      </c>
      <c r="C107" s="35" t="s">
        <v>1555</v>
      </c>
    </row>
    <row r="108" spans="1:3" s="43" customFormat="1" ht="45">
      <c r="A108" s="36" t="str">
        <f>EXCEL!A117</f>
        <v>24EB0028PERFORMANCE BOND</v>
      </c>
      <c r="B108" s="35" t="s">
        <v>1190</v>
      </c>
      <c r="C108" s="35" t="s">
        <v>1555</v>
      </c>
    </row>
    <row r="109" spans="1:3" s="43" customFormat="1" ht="45">
      <c r="A109" s="36" t="str">
        <f>EXCEL!A118</f>
        <v>24EB0052PERFORMANCE BOND</v>
      </c>
      <c r="B109" s="35" t="s">
        <v>1190</v>
      </c>
      <c r="C109" s="35" t="s">
        <v>1555</v>
      </c>
    </row>
    <row r="110" spans="1:3" s="43" customFormat="1" ht="45">
      <c r="A110" s="36" t="str">
        <f>EXCEL!A119</f>
        <v>24EB0052CONTRACTOR'S ALL RISK POLICY</v>
      </c>
      <c r="B110" s="35" t="s">
        <v>1190</v>
      </c>
      <c r="C110" s="35" t="s">
        <v>1555</v>
      </c>
    </row>
    <row r="111" spans="1:3" s="43" customFormat="1" ht="45">
      <c r="A111" s="36" t="str">
        <f>EXCEL!A120</f>
        <v>24EB0018CONTRACTOR'S ALL RISK POLICY</v>
      </c>
      <c r="B111" s="35" t="s">
        <v>1190</v>
      </c>
      <c r="C111" s="35" t="s">
        <v>1555</v>
      </c>
    </row>
    <row r="112" spans="1:3" s="43" customFormat="1" ht="45">
      <c r="A112" s="36" t="str">
        <f>EXCEL!A121</f>
        <v>24EB0018PERFORMANCE BOND</v>
      </c>
      <c r="B112" s="35" t="s">
        <v>1190</v>
      </c>
      <c r="C112" s="35" t="s">
        <v>1555</v>
      </c>
    </row>
    <row r="113" spans="1:3" s="43" customFormat="1" ht="45">
      <c r="A113" s="36" t="str">
        <f>EXCEL!A122</f>
        <v>24EB0021CONTRACTOR'S ALL RISK POLICY</v>
      </c>
      <c r="B113" s="35" t="s">
        <v>1190</v>
      </c>
      <c r="C113" s="35" t="s">
        <v>1555</v>
      </c>
    </row>
    <row r="114" spans="1:3" s="43" customFormat="1" ht="45">
      <c r="A114" s="36" t="str">
        <f>EXCEL!A123</f>
        <v>24EB0021PERFORMANCE BOND</v>
      </c>
      <c r="B114" s="35" t="s">
        <v>1190</v>
      </c>
      <c r="C114" s="35" t="s">
        <v>1555</v>
      </c>
    </row>
    <row r="115" spans="1:3" s="43" customFormat="1" ht="45">
      <c r="A115" s="36" t="str">
        <f>EXCEL!A124</f>
        <v>24EB0026CONTRACTOR'S ALL RISK POLICY</v>
      </c>
      <c r="B115" s="35" t="s">
        <v>1190</v>
      </c>
      <c r="C115" s="35" t="s">
        <v>1555</v>
      </c>
    </row>
    <row r="116" spans="1:3" s="43" customFormat="1" ht="45">
      <c r="A116" s="36" t="str">
        <f>EXCEL!A125</f>
        <v>24EB0026PERFORMANCE BOND</v>
      </c>
      <c r="B116" s="35" t="s">
        <v>1190</v>
      </c>
      <c r="C116" s="35" t="s">
        <v>1555</v>
      </c>
    </row>
    <row r="117" spans="1:3" s="43" customFormat="1" ht="67.5">
      <c r="A117" s="36" t="str">
        <f>EXCEL!A126</f>
        <v>24EB0051-R1CONTRACTOR'S ALL RISK POLICY</v>
      </c>
      <c r="B117" s="35" t="s">
        <v>1190</v>
      </c>
      <c r="C117" s="35" t="s">
        <v>1555</v>
      </c>
    </row>
    <row r="118" spans="1:3" s="43" customFormat="1" ht="67.5">
      <c r="A118" s="36" t="str">
        <f>EXCEL!A127</f>
        <v>24EB0051-R1PERFORMANCE BOND</v>
      </c>
      <c r="B118" s="35" t="s">
        <v>1190</v>
      </c>
      <c r="C118" s="35" t="s">
        <v>1555</v>
      </c>
    </row>
    <row r="119" spans="1:3" s="43" customFormat="1" ht="45">
      <c r="A119" s="36" t="str">
        <f>EXCEL!A128</f>
        <v>24EB0022PERFORMANCE BOND</v>
      </c>
      <c r="B119" s="35" t="s">
        <v>1190</v>
      </c>
      <c r="C119" s="35" t="s">
        <v>1555</v>
      </c>
    </row>
    <row r="120" spans="1:3" s="43" customFormat="1" ht="45">
      <c r="A120" s="36" t="str">
        <f>EXCEL!A129</f>
        <v>24EB0022CONTRACTOR'S ALL RISK POLICY</v>
      </c>
      <c r="B120" s="35" t="s">
        <v>1190</v>
      </c>
      <c r="C120" s="35" t="s">
        <v>1555</v>
      </c>
    </row>
    <row r="121" spans="1:3" s="43" customFormat="1" ht="45">
      <c r="A121" s="36" t="str">
        <f>EXCEL!A130</f>
        <v>24EB0054PERFORMANCE BOND</v>
      </c>
      <c r="B121" s="35" t="s">
        <v>1190</v>
      </c>
      <c r="C121" s="35" t="s">
        <v>1555</v>
      </c>
    </row>
    <row r="122" spans="1:3" s="43" customFormat="1" ht="45">
      <c r="A122" s="36" t="str">
        <f>EXCEL!A131</f>
        <v>24EB0054CONTRACTOR'S ALL RISK POLICY</v>
      </c>
      <c r="B122" s="35" t="s">
        <v>1190</v>
      </c>
      <c r="C122" s="35" t="s">
        <v>1555</v>
      </c>
    </row>
    <row r="123" spans="1:3" s="43" customFormat="1" ht="45">
      <c r="A123" s="36" t="str">
        <f>EXCEL!A132</f>
        <v>24EB0050PERFORMANCE BOND</v>
      </c>
      <c r="B123" s="35" t="s">
        <v>1190</v>
      </c>
      <c r="C123" s="35" t="s">
        <v>1555</v>
      </c>
    </row>
    <row r="124" spans="1:3" s="43" customFormat="1" ht="45">
      <c r="A124" s="36" t="str">
        <f>EXCEL!A133</f>
        <v>24EB0050CONTRACTOR'S ALL RISK POLICY</v>
      </c>
      <c r="B124" s="35" t="s">
        <v>1190</v>
      </c>
      <c r="C124" s="35" t="s">
        <v>1555</v>
      </c>
    </row>
    <row r="125" spans="1:3" s="43" customFormat="1" ht="45">
      <c r="A125" s="36" t="str">
        <f>EXCEL!A134</f>
        <v>24EB0044PERFORMANCE BOND</v>
      </c>
      <c r="B125" s="35" t="s">
        <v>1190</v>
      </c>
      <c r="C125" s="35" t="s">
        <v>1555</v>
      </c>
    </row>
    <row r="126" spans="1:3" s="43" customFormat="1" ht="45">
      <c r="A126" s="36" t="str">
        <f>EXCEL!A135</f>
        <v>24EB0044CONTRACTOR'S ALL RISK POLICY</v>
      </c>
      <c r="B126" s="35" t="s">
        <v>1190</v>
      </c>
      <c r="C126" s="35" t="s">
        <v>1555</v>
      </c>
    </row>
    <row r="127" spans="1:3" s="43" customFormat="1" ht="45">
      <c r="A127" s="36" t="str">
        <f>EXCEL!A136</f>
        <v>24EB0039PERFORMANCE BOND</v>
      </c>
      <c r="B127" s="35" t="s">
        <v>1190</v>
      </c>
      <c r="C127" s="35" t="s">
        <v>1555</v>
      </c>
    </row>
    <row r="128" spans="1:3" s="43" customFormat="1" ht="45">
      <c r="A128" s="36" t="str">
        <f>EXCEL!A137</f>
        <v>24EB0039CONTRACTOR'S ALL RISK POLICY</v>
      </c>
      <c r="B128" s="35" t="s">
        <v>1190</v>
      </c>
      <c r="C128" s="35" t="s">
        <v>1555</v>
      </c>
    </row>
    <row r="129" spans="1:3" s="43" customFormat="1" ht="45">
      <c r="A129" s="36" t="str">
        <f>EXCEL!A138</f>
        <v>24EB0025PERFORMANCE BOND</v>
      </c>
      <c r="B129" s="35" t="s">
        <v>1190</v>
      </c>
      <c r="C129" s="35" t="s">
        <v>1555</v>
      </c>
    </row>
    <row r="130" spans="1:3" s="43" customFormat="1" ht="45">
      <c r="A130" s="36" t="str">
        <f>EXCEL!A139</f>
        <v>24EB0025CONTRACTOR'S ALL RISK POLICY</v>
      </c>
      <c r="B130" s="35" t="s">
        <v>1190</v>
      </c>
      <c r="C130" s="35" t="s">
        <v>1555</v>
      </c>
    </row>
    <row r="131" spans="1:3" s="43" customFormat="1" ht="45">
      <c r="A131" s="36" t="str">
        <f>EXCEL!A140</f>
        <v>24EB0037PERFORMANCE BOND</v>
      </c>
      <c r="B131" s="35" t="s">
        <v>1190</v>
      </c>
      <c r="C131" s="35" t="s">
        <v>1555</v>
      </c>
    </row>
    <row r="132" spans="1:3" s="43" customFormat="1" ht="45">
      <c r="A132" s="36" t="str">
        <f>EXCEL!A141</f>
        <v>24EB0037CONTRACTOR'S ALL RISK POLICY</v>
      </c>
      <c r="B132" s="35" t="s">
        <v>1190</v>
      </c>
      <c r="C132" s="35" t="s">
        <v>1555</v>
      </c>
    </row>
    <row r="133" spans="1:3" s="43" customFormat="1" ht="45">
      <c r="A133" s="36" t="str">
        <f>EXCEL!A142</f>
        <v>24EB0036PERFORMANCE BOND</v>
      </c>
      <c r="B133" s="35" t="s">
        <v>1190</v>
      </c>
      <c r="C133" s="35" t="s">
        <v>1555</v>
      </c>
    </row>
    <row r="134" spans="1:3" s="43" customFormat="1" ht="45">
      <c r="A134" s="36" t="str">
        <f>EXCEL!A143</f>
        <v>24EB0036CONTRACTOR'S ALL RISK POLICY</v>
      </c>
      <c r="B134" s="35" t="s">
        <v>1190</v>
      </c>
      <c r="C134" s="35" t="s">
        <v>1555</v>
      </c>
    </row>
    <row r="135" spans="1:3" s="43" customFormat="1" ht="45">
      <c r="A135" s="36" t="str">
        <f>EXCEL!A144</f>
        <v>24EB0035PERFORMANCE BOND</v>
      </c>
      <c r="B135" s="35" t="s">
        <v>1190</v>
      </c>
      <c r="C135" s="35" t="s">
        <v>1555</v>
      </c>
    </row>
    <row r="136" spans="1:3" s="43" customFormat="1" ht="45">
      <c r="A136" s="36" t="str">
        <f>EXCEL!A145</f>
        <v>24EB0035CONTRACTOR'S ALL RISK POLICY</v>
      </c>
      <c r="B136" s="35" t="s">
        <v>1190</v>
      </c>
      <c r="C136" s="35" t="s">
        <v>1555</v>
      </c>
    </row>
    <row r="137" spans="1:3" s="43" customFormat="1" ht="45">
      <c r="A137" s="36" t="str">
        <f>EXCEL!A146</f>
        <v>24EB0027PERFORMANCE BOND</v>
      </c>
      <c r="B137" s="35" t="s">
        <v>1190</v>
      </c>
      <c r="C137" s="35" t="s">
        <v>1555</v>
      </c>
    </row>
    <row r="138" spans="1:3" s="43" customFormat="1" ht="45">
      <c r="A138" s="36" t="str">
        <f>EXCEL!A147</f>
        <v>24EB0027CONTRACTOR'S ALL RISK POLICY</v>
      </c>
      <c r="B138" s="35" t="s">
        <v>1190</v>
      </c>
      <c r="C138" s="35" t="s">
        <v>1555</v>
      </c>
    </row>
    <row r="139" spans="1:3" s="43" customFormat="1" ht="45">
      <c r="A139" s="36" t="str">
        <f>EXCEL!A148</f>
        <v>24EB0017PERFORMANCE BOND</v>
      </c>
      <c r="B139" s="35" t="s">
        <v>269</v>
      </c>
      <c r="C139" s="35" t="s">
        <v>1555</v>
      </c>
    </row>
    <row r="140" spans="1:3" s="43" customFormat="1" ht="45">
      <c r="A140" s="36" t="str">
        <f>EXCEL!A149</f>
        <v>24EB0017CONTRACTOR'S ALL RISK POLICY</v>
      </c>
      <c r="B140" s="35" t="s">
        <v>269</v>
      </c>
      <c r="C140" s="35" t="s">
        <v>1555</v>
      </c>
    </row>
    <row r="141" spans="1:3" s="43" customFormat="1" ht="45">
      <c r="A141" s="36" t="str">
        <f>EXCEL!A150</f>
        <v>24EB0014CONTRACTOR'S ALL RISK POLICY</v>
      </c>
      <c r="B141" s="35" t="s">
        <v>269</v>
      </c>
      <c r="C141" s="35" t="s">
        <v>1555</v>
      </c>
    </row>
    <row r="142" spans="1:3" s="43" customFormat="1" ht="45">
      <c r="A142" s="36" t="str">
        <f>EXCEL!A151</f>
        <v>24EB0014PERFORMANCE BOND</v>
      </c>
      <c r="B142" s="35" t="s">
        <v>269</v>
      </c>
      <c r="C142" s="35" t="s">
        <v>1555</v>
      </c>
    </row>
    <row r="143" spans="1:3" s="43" customFormat="1" ht="46.5">
      <c r="A143" s="36" t="str">
        <f>EXCEL!A152</f>
        <v>24EB0042CONTRACTOR'S ALL RISK POLICY</v>
      </c>
      <c r="B143" s="35" t="s">
        <v>1422</v>
      </c>
      <c r="C143" s="35" t="s">
        <v>1555</v>
      </c>
    </row>
    <row r="144" spans="1:3" s="28" customFormat="1" ht="46.5">
      <c r="A144" s="36" t="str">
        <f>EXCEL!A153</f>
        <v>24EB0042PERFORMANCE BOND</v>
      </c>
      <c r="B144" s="35" t="s">
        <v>1422</v>
      </c>
      <c r="C144" s="35" t="s">
        <v>1555</v>
      </c>
    </row>
    <row r="145" spans="1:3" s="28" customFormat="1" ht="46.5">
      <c r="A145" s="36" t="str">
        <f>EXCEL!A154</f>
        <v>24EB0038PERFORMANCE BOND</v>
      </c>
      <c r="B145" s="35" t="s">
        <v>1422</v>
      </c>
      <c r="C145" s="35" t="s">
        <v>1555</v>
      </c>
    </row>
    <row r="146" spans="1:3" s="28" customFormat="1" ht="46.5">
      <c r="A146" s="36" t="str">
        <f>EXCEL!A155</f>
        <v>24EB0038CONTRACTOR'S ALL RISK POLICY</v>
      </c>
      <c r="B146" s="35" t="s">
        <v>1422</v>
      </c>
      <c r="C146" s="35" t="s">
        <v>1555</v>
      </c>
    </row>
    <row r="147" spans="1:3" s="28" customFormat="1" ht="45">
      <c r="A147" s="36" t="str">
        <f>EXCEL!A156</f>
        <v>24EB0015CONTRACTOR'S ALL RISK POLICY</v>
      </c>
      <c r="B147" s="35" t="s">
        <v>62</v>
      </c>
      <c r="C147" s="35" t="s">
        <v>1555</v>
      </c>
    </row>
    <row r="148" spans="1:3" s="28" customFormat="1" ht="45">
      <c r="A148" s="36" t="str">
        <f>EXCEL!A157</f>
        <v>24EB0015PERFORMANCE BOND</v>
      </c>
      <c r="B148" s="35" t="s">
        <v>62</v>
      </c>
      <c r="C148" s="35" t="s">
        <v>1555</v>
      </c>
    </row>
    <row r="149" spans="1:3" s="28" customFormat="1" ht="45">
      <c r="A149" s="36" t="str">
        <f>EXCEL!A158</f>
        <v>24EB0012PERFORMANCE BOND</v>
      </c>
      <c r="B149" s="35" t="s">
        <v>62</v>
      </c>
      <c r="C149" s="35" t="s">
        <v>1555</v>
      </c>
    </row>
    <row r="150" spans="1:3" s="28" customFormat="1" ht="45">
      <c r="A150" s="36" t="str">
        <f>EXCEL!A159</f>
        <v>24EB0012CONTRACTOR'S ALL RISK POLICY</v>
      </c>
      <c r="B150" s="35" t="s">
        <v>62</v>
      </c>
      <c r="C150" s="35" t="s">
        <v>1555</v>
      </c>
    </row>
    <row r="151" spans="1:3" s="28" customFormat="1" ht="45">
      <c r="A151" s="36" t="str">
        <f>EXCEL!A160</f>
        <v>23EB0075RETENTION BOND</v>
      </c>
      <c r="B151" s="35" t="s">
        <v>62</v>
      </c>
      <c r="C151" s="35" t="s">
        <v>1555</v>
      </c>
    </row>
    <row r="152" spans="1:3" s="28" customFormat="1" ht="45">
      <c r="A152" s="36" t="str">
        <f>EXCEL!A161</f>
        <v>23EB0100RETENTION BOND</v>
      </c>
      <c r="B152" s="35" t="s">
        <v>1190</v>
      </c>
      <c r="C152" s="35" t="s">
        <v>1555</v>
      </c>
    </row>
    <row r="153" spans="1:3" s="116" customFormat="1" ht="46.5">
      <c r="A153" s="108" t="str">
        <f>EXCEL!A162</f>
        <v>23EB0101RETENTION BOND</v>
      </c>
      <c r="B153" s="107" t="s">
        <v>1445</v>
      </c>
      <c r="C153" s="35" t="s">
        <v>1555</v>
      </c>
    </row>
    <row r="154" spans="1:3" s="116" customFormat="1" ht="46.5">
      <c r="A154" s="108" t="str">
        <f>EXCEL!A163</f>
        <v>24EB0038ADVANCE PAYMENT BOND</v>
      </c>
      <c r="B154" s="107" t="s">
        <v>1445</v>
      </c>
      <c r="C154" s="35" t="s">
        <v>1555</v>
      </c>
    </row>
    <row r="155" spans="1:3" s="116" customFormat="1" ht="45">
      <c r="A155" s="108" t="str">
        <f>EXCEL!A164</f>
        <v>24EB0012ADVANCE PAYMENT BOND</v>
      </c>
      <c r="B155" s="35" t="s">
        <v>62</v>
      </c>
      <c r="C155" s="35" t="s">
        <v>1555</v>
      </c>
    </row>
    <row r="156" spans="1:3" s="116" customFormat="1" ht="46.5">
      <c r="A156" s="108" t="str">
        <f>EXCEL!A165</f>
        <v>24EB0070PERFORMANCE BOND</v>
      </c>
      <c r="B156" s="107" t="s">
        <v>1445</v>
      </c>
      <c r="C156" s="35" t="s">
        <v>1555</v>
      </c>
    </row>
    <row r="157" spans="1:3" s="116" customFormat="1" ht="46.5">
      <c r="A157" s="108" t="str">
        <f>EXCEL!A166</f>
        <v>24EB0070CONTRACTOR'S ALL RISK POLICY</v>
      </c>
      <c r="B157" s="107" t="s">
        <v>1445</v>
      </c>
      <c r="C157" s="35" t="s">
        <v>1555</v>
      </c>
    </row>
    <row r="158" spans="1:3" s="116" customFormat="1" ht="46.5">
      <c r="A158" s="108" t="str">
        <f>EXCEL!A167</f>
        <v>24EB0046PERFORMANCE BOND</v>
      </c>
      <c r="B158" s="107" t="s">
        <v>1445</v>
      </c>
      <c r="C158" s="35" t="s">
        <v>1555</v>
      </c>
    </row>
    <row r="159" spans="1:3" s="116" customFormat="1" ht="45">
      <c r="A159" s="108" t="str">
        <f>EXCEL!A168</f>
        <v>23EB0045PERFORMANCE BOND</v>
      </c>
      <c r="B159" s="35" t="s">
        <v>1190</v>
      </c>
      <c r="C159" s="35" t="s">
        <v>1555</v>
      </c>
    </row>
    <row r="160" spans="1:3" s="116" customFormat="1" ht="45">
      <c r="A160" s="108" t="str">
        <f>EXCEL!A169</f>
        <v>23EB0045CONTRACTOR'S ALL RISK POLICY</v>
      </c>
      <c r="B160" s="35" t="s">
        <v>1190</v>
      </c>
      <c r="C160" s="35" t="s">
        <v>1555</v>
      </c>
    </row>
    <row r="161" spans="1:3" s="116" customFormat="1" ht="45">
      <c r="A161" s="108" t="str">
        <f>EXCEL!A170</f>
        <v>24EB0058CONTRACTOR'S ALL RISK POLICY</v>
      </c>
      <c r="B161" s="35" t="s">
        <v>1190</v>
      </c>
      <c r="C161" s="35" t="s">
        <v>1555</v>
      </c>
    </row>
    <row r="162" spans="1:3" s="116" customFormat="1" ht="45">
      <c r="A162" s="108" t="str">
        <f>EXCEL!A171</f>
        <v>24EB0058PERFORMANCE BOND</v>
      </c>
      <c r="B162" s="35" t="s">
        <v>1190</v>
      </c>
      <c r="C162" s="35" t="s">
        <v>1555</v>
      </c>
    </row>
    <row r="163" spans="1:3" s="116" customFormat="1" ht="67.5">
      <c r="A163" s="108" t="str">
        <f>EXCEL!A172</f>
        <v>24EB0010-R1PERFORMANCE BOND</v>
      </c>
      <c r="B163" s="35" t="s">
        <v>1190</v>
      </c>
      <c r="C163" s="35" t="s">
        <v>1555</v>
      </c>
    </row>
    <row r="164" spans="1:3" s="116" customFormat="1" ht="67.5">
      <c r="A164" s="108" t="str">
        <f>EXCEL!A173</f>
        <v>24EB0010-R1CONTRACTOR'S ALL RISK POLICY</v>
      </c>
      <c r="B164" s="35" t="s">
        <v>1190</v>
      </c>
      <c r="C164" s="35" t="s">
        <v>1555</v>
      </c>
    </row>
    <row r="165" spans="1:3" s="116" customFormat="1" ht="45">
      <c r="A165" s="108" t="str">
        <f>EXCEL!A174</f>
        <v>23EB0033WARRANTY BOND</v>
      </c>
      <c r="B165" s="35" t="s">
        <v>269</v>
      </c>
      <c r="C165" s="35" t="s">
        <v>1555</v>
      </c>
    </row>
    <row r="166" spans="1:3" s="116" customFormat="1" ht="45">
      <c r="A166" s="108" t="str">
        <f>EXCEL!A175</f>
        <v>24EB0022ADVANCE PAYMENT BOND</v>
      </c>
      <c r="B166" s="35" t="s">
        <v>269</v>
      </c>
      <c r="C166" s="35" t="s">
        <v>1555</v>
      </c>
    </row>
    <row r="167" spans="1:3" s="116" customFormat="1" ht="45">
      <c r="A167" s="108" t="str">
        <f>EXCEL!A176</f>
        <v>24EB0014ADVANCE PAYMENT BOND</v>
      </c>
      <c r="B167" s="35" t="s">
        <v>269</v>
      </c>
      <c r="C167" s="35" t="s">
        <v>1555</v>
      </c>
    </row>
    <row r="168" spans="1:3" s="116" customFormat="1" ht="45">
      <c r="A168" s="108" t="str">
        <f>EXCEL!A177</f>
        <v>24EB0017ADVANCE PAYMENT BOND</v>
      </c>
      <c r="B168" s="35" t="s">
        <v>269</v>
      </c>
      <c r="C168" s="35" t="s">
        <v>1555</v>
      </c>
    </row>
    <row r="169" spans="1:3" s="116" customFormat="1" ht="45">
      <c r="A169" s="108" t="str">
        <f>EXCEL!A178</f>
        <v>24EB0054ADVANCE PAYMENT BOND</v>
      </c>
      <c r="B169" s="35" t="s">
        <v>269</v>
      </c>
      <c r="C169" s="35" t="s">
        <v>1555</v>
      </c>
    </row>
    <row r="170" spans="1:3" s="116" customFormat="1" ht="45">
      <c r="A170" s="108" t="str">
        <f>EXCEL!A179</f>
        <v>24EB0044ADVANCE PAYMENT BOND</v>
      </c>
      <c r="B170" s="35" t="s">
        <v>269</v>
      </c>
      <c r="C170" s="35" t="s">
        <v>1555</v>
      </c>
    </row>
    <row r="171" spans="1:3" s="116" customFormat="1" ht="45">
      <c r="A171" s="108" t="str">
        <f>EXCEL!A180</f>
        <v>24EB0036ADVANCE PAYMENT BOND</v>
      </c>
      <c r="B171" s="35" t="s">
        <v>269</v>
      </c>
      <c r="C171" s="35" t="s">
        <v>1310</v>
      </c>
    </row>
    <row r="172" spans="1:3" s="116" customFormat="1" ht="45">
      <c r="A172" s="108" t="str">
        <f>EXCEL!A181</f>
        <v>24EB0050ADVANCE PAYMENT BOND</v>
      </c>
      <c r="B172" s="35" t="s">
        <v>269</v>
      </c>
      <c r="C172" s="35" t="s">
        <v>1310</v>
      </c>
    </row>
    <row r="173" spans="1:3" s="116" customFormat="1" ht="45">
      <c r="A173" s="108" t="str">
        <f>EXCEL!A182</f>
        <v>24EB0027ADVANCE PAYMENT BOND</v>
      </c>
      <c r="B173" s="35" t="s">
        <v>269</v>
      </c>
      <c r="C173" s="35" t="s">
        <v>1310</v>
      </c>
    </row>
    <row r="174" spans="1:3" s="116" customFormat="1" ht="45">
      <c r="A174" s="108" t="str">
        <f>EXCEL!A183</f>
        <v>24EB0051-R1ADVANCE PAYMENT BOND</v>
      </c>
      <c r="B174" s="35" t="s">
        <v>269</v>
      </c>
      <c r="C174" s="35" t="s">
        <v>1310</v>
      </c>
    </row>
    <row r="175" spans="1:3" s="116" customFormat="1" ht="45">
      <c r="A175" s="108" t="str">
        <f>EXCEL!A184</f>
        <v>24EB0035ADVANCE PAYMENT BOND</v>
      </c>
      <c r="B175" s="35" t="s">
        <v>269</v>
      </c>
      <c r="C175" s="35" t="s">
        <v>1310</v>
      </c>
    </row>
    <row r="176" spans="1:3" s="116" customFormat="1" ht="45">
      <c r="A176" s="108" t="str">
        <f>EXCEL!A185</f>
        <v>24EB0039ADVANCE PAYMENT BOND</v>
      </c>
      <c r="B176" s="35" t="s">
        <v>269</v>
      </c>
      <c r="C176" s="35" t="s">
        <v>1310</v>
      </c>
    </row>
    <row r="177" spans="1:3" s="116" customFormat="1" ht="46.5">
      <c r="A177" s="108" t="str">
        <f>EXCEL!A186</f>
        <v>24EB0042ADVANCE PAYMENT BOND</v>
      </c>
      <c r="B177" s="107" t="s">
        <v>1445</v>
      </c>
      <c r="C177" s="107" t="s">
        <v>1446</v>
      </c>
    </row>
    <row r="178" spans="1:3" s="116" customFormat="1" ht="46.5">
      <c r="A178" s="108" t="str">
        <f>EXCEL!A187</f>
        <v>24EB0052ADVANCE PAYMENT BOND</v>
      </c>
      <c r="B178" s="35" t="s">
        <v>62</v>
      </c>
      <c r="C178" s="35" t="s">
        <v>63</v>
      </c>
    </row>
    <row r="179" spans="1:3" s="116" customFormat="1" ht="46.5">
      <c r="A179" s="108" t="str">
        <f>EXCEL!A188</f>
        <v>24EB0028ADVANCE PAYMENT BOND</v>
      </c>
      <c r="B179" s="35" t="s">
        <v>62</v>
      </c>
      <c r="C179" s="35" t="s">
        <v>63</v>
      </c>
    </row>
    <row r="180" spans="1:3" s="116" customFormat="1" ht="46.5">
      <c r="A180" s="108" t="str">
        <f>EXCEL!A189</f>
        <v>24EB0021ADVANCE PAYMENT BOND</v>
      </c>
      <c r="B180" s="35" t="s">
        <v>62</v>
      </c>
      <c r="C180" s="35" t="s">
        <v>63</v>
      </c>
    </row>
    <row r="181" spans="1:3" s="116" customFormat="1" ht="46.5">
      <c r="A181" s="108" t="str">
        <f>EXCEL!A190</f>
        <v>24EB0057ADVANCE PAYMENT BOND</v>
      </c>
      <c r="B181" s="35" t="s">
        <v>62</v>
      </c>
      <c r="C181" s="35" t="s">
        <v>63</v>
      </c>
    </row>
    <row r="182" spans="1:3" s="116" customFormat="1" ht="46.5">
      <c r="A182" s="108" t="str">
        <f>EXCEL!A191</f>
        <v>24EB0018ADVANCE PAYMENT BOND</v>
      </c>
      <c r="B182" s="35" t="s">
        <v>62</v>
      </c>
      <c r="C182" s="35" t="s">
        <v>63</v>
      </c>
    </row>
    <row r="183" spans="1:3" s="116" customFormat="1" ht="46.5">
      <c r="A183" s="108" t="str">
        <f>EXCEL!A192</f>
        <v>24EB0026ADVANCE PAYMENT BOND</v>
      </c>
      <c r="B183" s="35" t="s">
        <v>62</v>
      </c>
      <c r="C183" s="35" t="s">
        <v>63</v>
      </c>
    </row>
    <row r="184" spans="1:3" s="116" customFormat="1" ht="46.5">
      <c r="A184" s="108" t="str">
        <f>EXCEL!A193</f>
        <v>24EB0015ADVANCE PAYMENT BOND</v>
      </c>
      <c r="B184" s="35" t="s">
        <v>62</v>
      </c>
      <c r="C184" s="35" t="s">
        <v>63</v>
      </c>
    </row>
    <row r="185" spans="1:3" s="116" customFormat="1" ht="45">
      <c r="A185" s="108" t="str">
        <f>EXCEL!A194</f>
        <v>24EB0040PERFORMANCE BOND</v>
      </c>
      <c r="B185" s="35" t="s">
        <v>1190</v>
      </c>
      <c r="C185" s="35" t="s">
        <v>1191</v>
      </c>
    </row>
    <row r="186" spans="1:3" s="116" customFormat="1" ht="45">
      <c r="A186" s="108" t="str">
        <f>EXCEL!A195</f>
        <v>24EB0040CONTRACTOR'S ALL RISK POLICY</v>
      </c>
      <c r="B186" s="35" t="s">
        <v>1190</v>
      </c>
      <c r="C186" s="35" t="s">
        <v>1191</v>
      </c>
    </row>
    <row r="187" spans="1:3" s="116" customFormat="1" ht="45">
      <c r="A187" s="108" t="str">
        <f>EXCEL!A196</f>
        <v>24EB0043PERFORMANCE BOND</v>
      </c>
      <c r="B187" s="35" t="s">
        <v>1190</v>
      </c>
      <c r="C187" s="35" t="s">
        <v>1191</v>
      </c>
    </row>
    <row r="188" spans="1:3" s="116" customFormat="1" ht="45">
      <c r="A188" s="108" t="str">
        <f>EXCEL!A197</f>
        <v>24EB0043CONTRACTOR'S ALL RISK POLICY</v>
      </c>
      <c r="B188" s="35" t="s">
        <v>1190</v>
      </c>
      <c r="C188" s="35" t="s">
        <v>1191</v>
      </c>
    </row>
    <row r="189" spans="1:3" s="116" customFormat="1" ht="45">
      <c r="A189" s="108" t="str">
        <f>EXCEL!A198</f>
        <v>24EB0002PERFORMANCE BOND</v>
      </c>
      <c r="B189" s="35" t="s">
        <v>1190</v>
      </c>
      <c r="C189" s="35" t="s">
        <v>1191</v>
      </c>
    </row>
    <row r="190" spans="1:3" s="116" customFormat="1" ht="46.5">
      <c r="A190" s="108" t="str">
        <f>EXCEL!A199</f>
        <v>24EB0002CONTRACTOR'S ALL RISK POLICY</v>
      </c>
      <c r="B190" s="35" t="s">
        <v>998</v>
      </c>
      <c r="C190" s="35" t="s">
        <v>1285</v>
      </c>
    </row>
    <row r="191" spans="1:3" s="116" customFormat="1" ht="45">
      <c r="A191" s="108" t="str">
        <f>EXCEL!A200</f>
        <v>24EB0041PERFORMANCE BOND</v>
      </c>
      <c r="B191" s="35" t="s">
        <v>1190</v>
      </c>
      <c r="C191" s="35" t="s">
        <v>1191</v>
      </c>
    </row>
    <row r="192" spans="1:3" s="116" customFormat="1" ht="45">
      <c r="A192" s="108" t="str">
        <f>EXCEL!A201</f>
        <v>24EB0041CONTRACTOR'S ALL RISK POLICY</v>
      </c>
      <c r="B192" s="35" t="s">
        <v>1190</v>
      </c>
      <c r="C192" s="35" t="s">
        <v>1191</v>
      </c>
    </row>
    <row r="193" spans="1:3" s="116" customFormat="1" ht="67.5">
      <c r="A193" s="108" t="str">
        <f>EXCEL!A202</f>
        <v>24EB0046-R1PERFORMANCE BOND</v>
      </c>
      <c r="B193" s="107" t="s">
        <v>1445</v>
      </c>
      <c r="C193" s="107" t="s">
        <v>1446</v>
      </c>
    </row>
    <row r="194" spans="1:3" s="116" customFormat="1" ht="67.5">
      <c r="A194" s="108" t="str">
        <f>EXCEL!A203</f>
        <v>24EB0046-R1CONTRACTOR'S ALL RISK POLICY</v>
      </c>
      <c r="B194" s="107" t="s">
        <v>1445</v>
      </c>
      <c r="C194" s="107" t="s">
        <v>1446</v>
      </c>
    </row>
    <row r="195" spans="1:3" s="116" customFormat="1" ht="45">
      <c r="A195" s="108" t="str">
        <f>EXCEL!A204</f>
        <v>23EB0105CONTRACTOR'S ALL RISK POLICY</v>
      </c>
      <c r="B195" s="35" t="s">
        <v>269</v>
      </c>
      <c r="C195" s="35" t="s">
        <v>1310</v>
      </c>
    </row>
    <row r="196" spans="1:3" s="116" customFormat="1" ht="45">
      <c r="A196" s="108" t="str">
        <f>EXCEL!A205</f>
        <v>23EB0105PERFORMANCE BOND</v>
      </c>
      <c r="B196" s="35" t="s">
        <v>269</v>
      </c>
      <c r="C196" s="35" t="s">
        <v>1310</v>
      </c>
    </row>
    <row r="197" spans="1:3" s="116" customFormat="1" ht="45">
      <c r="A197" s="108" t="str">
        <f>EXCEL!A206</f>
        <v>23EB0106CONTRACTOR'S ALL RISK POLICY</v>
      </c>
      <c r="B197" s="35" t="s">
        <v>269</v>
      </c>
      <c r="C197" s="35" t="s">
        <v>1310</v>
      </c>
    </row>
    <row r="198" spans="1:3" s="116" customFormat="1" ht="45">
      <c r="A198" s="108" t="str">
        <f>EXCEL!A207</f>
        <v>23EB0106PERFORMANCE BOND</v>
      </c>
      <c r="B198" s="35" t="s">
        <v>269</v>
      </c>
      <c r="C198" s="35" t="s">
        <v>1310</v>
      </c>
    </row>
    <row r="199" spans="1:3" s="116" customFormat="1" ht="45">
      <c r="A199" s="108" t="str">
        <f>EXCEL!A208</f>
        <v>24EB0019CONTRACTOR'S ALL RISK POLICY</v>
      </c>
      <c r="B199" s="35" t="s">
        <v>269</v>
      </c>
      <c r="C199" s="35" t="s">
        <v>1310</v>
      </c>
    </row>
    <row r="200" spans="1:3" s="116" customFormat="1" ht="45">
      <c r="A200" s="108" t="str">
        <f>EXCEL!A210</f>
        <v>24EB0019PERFORMANCE BOND</v>
      </c>
      <c r="B200" s="35" t="s">
        <v>269</v>
      </c>
      <c r="C200" s="35" t="s">
        <v>1310</v>
      </c>
    </row>
    <row r="201" spans="1:3" s="116" customFormat="1" ht="45">
      <c r="A201" s="108" t="str">
        <f>EXCEL!A211</f>
        <v>24EB0074CONTRACTOR'S ALL RISK POLICY</v>
      </c>
      <c r="B201" s="35" t="s">
        <v>269</v>
      </c>
      <c r="C201" s="35" t="s">
        <v>1310</v>
      </c>
    </row>
    <row r="202" spans="1:3" s="116" customFormat="1" ht="46.5">
      <c r="A202" s="108" t="str">
        <f>EXCEL!A212</f>
        <v>23EB0082PERFORMANCE BOND</v>
      </c>
      <c r="B202" s="107" t="s">
        <v>269</v>
      </c>
      <c r="C202" s="107" t="s">
        <v>270</v>
      </c>
    </row>
    <row r="203" spans="1:3" s="116" customFormat="1" ht="46.5">
      <c r="A203" s="108" t="str">
        <f>EXCEL!A213</f>
        <v>23EB0082PERFORMANCE BOND</v>
      </c>
      <c r="B203" s="107" t="s">
        <v>269</v>
      </c>
      <c r="C203" s="107" t="s">
        <v>270</v>
      </c>
    </row>
    <row r="204" spans="1:3" s="116" customFormat="1" ht="46.5">
      <c r="A204" s="108" t="str">
        <f>EXCEL!A214</f>
        <v>23EB0082PERFORMANCE BOND</v>
      </c>
      <c r="B204" s="107" t="s">
        <v>269</v>
      </c>
      <c r="C204" s="107" t="s">
        <v>270</v>
      </c>
    </row>
    <row r="205" spans="1:3" s="116" customFormat="1" ht="46.5">
      <c r="A205" s="108" t="str">
        <f>EXCEL!A215</f>
        <v>23EB0082PERFORMANCE BOND</v>
      </c>
      <c r="B205" s="107" t="s">
        <v>269</v>
      </c>
      <c r="C205" s="107" t="s">
        <v>270</v>
      </c>
    </row>
    <row r="206" spans="1:3" s="116" customFormat="1" ht="46.5">
      <c r="A206" s="108" t="str">
        <f>EXCEL!A216</f>
        <v>23EB0082PERFORMANCE BOND</v>
      </c>
      <c r="B206" s="107" t="s">
        <v>269</v>
      </c>
      <c r="C206" s="107" t="s">
        <v>270</v>
      </c>
    </row>
    <row r="207" spans="1:3" s="116" customFormat="1" ht="46.5">
      <c r="A207" s="108">
        <f>EXCEL!A217</f>
        <v>0</v>
      </c>
      <c r="B207" s="107" t="s">
        <v>269</v>
      </c>
      <c r="C207" s="107" t="s">
        <v>270</v>
      </c>
    </row>
    <row r="208" spans="1:3" s="116" customFormat="1"/>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CERT</vt:lpstr>
      <vt:lpstr>Letter</vt:lpstr>
      <vt:lpstr>Sheet1</vt:lpstr>
      <vt:lpstr>4th</vt:lpstr>
      <vt:lpstr>2ND 3RD</vt:lpstr>
      <vt:lpstr>20231ST</vt:lpstr>
      <vt:lpstr>20232ND3RD</vt:lpstr>
      <vt:lpstr>EXCEL</vt:lpstr>
      <vt:lpstr>POSITION</vt:lpstr>
      <vt:lpstr>'20231ST'!Print_Area</vt:lpstr>
      <vt:lpstr>'20232ND3RD'!Print_Area</vt:lpstr>
      <vt:lpstr>'2ND 3RD'!Print_Area</vt:lpstr>
      <vt:lpstr>'4th'!Print_Area</vt:lpstr>
      <vt:lpstr>CERT!Print_Area</vt:lpstr>
      <vt:lpstr>EXCEL!Print_Area</vt:lpstr>
      <vt:lpstr>Letter!Print_Area</vt:lpstr>
      <vt:lpstr>'20231ST'!Print_Titles</vt:lpstr>
      <vt:lpstr>'20232ND3RD'!Print_Titles</vt:lpstr>
      <vt:lpstr>'2ND 3RD'!Print_Titles</vt:lpstr>
      <vt:lpstr>'4th'!Print_Titles</vt:lpstr>
      <vt:lpstr>CERT!Print_Titles</vt:lpstr>
      <vt:lpstr>EXCEL!Print_Titles</vt:lpstr>
      <vt:lpstr>Letter!Print_Titles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User</cp:lastModifiedBy>
  <cp:lastPrinted>2024-02-19T04:41:26Z</cp:lastPrinted>
  <dcterms:created xsi:type="dcterms:W3CDTF">2022-02-09T00:58:39Z</dcterms:created>
  <dcterms:modified xsi:type="dcterms:W3CDTF">2024-03-02T07:53:12Z</dcterms:modified>
</cp:coreProperties>
</file>